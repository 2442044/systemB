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（修正対象）/開発用(作成対象)/"/>
    </mc:Choice>
  </mc:AlternateContent>
  <xr:revisionPtr revIDLastSave="0" documentId="13_ncr:1_{6F46B0EF-02CF-0842-A59C-7D1038733DEF}" xr6:coauthVersionLast="47" xr6:coauthVersionMax="47" xr10:uidLastSave="{00000000-0000-0000-0000-000000000000}"/>
  <bookViews>
    <workbookView xWindow="19220" yWindow="500" windowWidth="19200" windowHeight="21100" xr2:uid="{00000000-000D-0000-FFFF-FFFF00000000}"/>
  </bookViews>
  <sheets>
    <sheet name="MemberManager" sheetId="2" r:id="rId1"/>
    <sheet name="loadMembers" sheetId="3" r:id="rId2"/>
    <sheet name="isMemberValid" sheetId="4" r:id="rId3"/>
    <sheet name="saveMembers" sheetId="5" r:id="rId4"/>
    <sheet name="addMember" sheetId="6" r:id="rId5"/>
    <sheet name="generateMemberId" sheetId="7" r:id="rId6"/>
    <sheet name="searchMemberById" sheetId="8" r:id="rId7"/>
    <sheet name="deleteMemberById" sheetId="9" r:id="rId8"/>
    <sheet name="getMembers" sheetId="10" r:id="rId9"/>
    <sheet name="getMembersCount" sheetId="11" r:id="rId10"/>
  </sheets>
  <definedNames>
    <definedName name="_xlnm.Print_Area" localSheetId="4">addMember!$A$1:$L$15</definedName>
    <definedName name="_xlnm.Print_Area" localSheetId="7">deleteMemberById!$A$1:$L$15</definedName>
    <definedName name="_xlnm.Print_Area" localSheetId="5">generateMemberId!$A$1:$L$15</definedName>
    <definedName name="_xlnm.Print_Area" localSheetId="8">getMembers!$A$1:$L$15</definedName>
    <definedName name="_xlnm.Print_Area" localSheetId="9">getMembersCount!$A$1:$L$15</definedName>
    <definedName name="_xlnm.Print_Area" localSheetId="2">isMemberValid!$A$1:$L$15</definedName>
    <definedName name="_xlnm.Print_Area" localSheetId="1">loadMembers!$A$1:$L$15</definedName>
    <definedName name="_xlnm.Print_Area" localSheetId="0">MemberManager!$A$1:$L$15</definedName>
    <definedName name="_xlnm.Print_Area" localSheetId="3">saveMembers!$A$1:$L$15</definedName>
    <definedName name="_xlnm.Print_Area" localSheetId="6">searchMemberById!$A$1:$L$15</definedName>
    <definedName name="_xlnm.Print_Titles" localSheetId="4">addMember!$1:$5</definedName>
    <definedName name="_xlnm.Print_Titles" localSheetId="7">deleteMemberById!$1:$5</definedName>
    <definedName name="_xlnm.Print_Titles" localSheetId="5">generateMemberId!$1:$5</definedName>
    <definedName name="_xlnm.Print_Titles" localSheetId="8">getMembers!$1:$5</definedName>
    <definedName name="_xlnm.Print_Titles" localSheetId="9">getMembersCount!$1:$5</definedName>
    <definedName name="_xlnm.Print_Titles" localSheetId="2">isMemberValid!$1:$5</definedName>
    <definedName name="_xlnm.Print_Titles" localSheetId="1">loadMembers!$1:$5</definedName>
    <definedName name="_xlnm.Print_Titles" localSheetId="0">MemberManager!$1:$5</definedName>
    <definedName name="_xlnm.Print_Titles" localSheetId="3">saveMembers!$1:$5</definedName>
    <definedName name="_xlnm.Print_Titles" localSheetId="6">searchMemberById!$1:$5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11" l="1"/>
  <c r="N36" i="11"/>
  <c r="N26" i="11"/>
  <c r="N16" i="11"/>
  <c r="N6" i="11"/>
  <c r="N2" i="11" s="1"/>
  <c r="N46" i="10"/>
  <c r="N36" i="10"/>
  <c r="N26" i="10"/>
  <c r="N16" i="10"/>
  <c r="N6" i="10"/>
  <c r="N46" i="9"/>
  <c r="N36" i="9"/>
  <c r="N26" i="9"/>
  <c r="N16" i="9"/>
  <c r="N6" i="9"/>
  <c r="N46" i="8"/>
  <c r="N36" i="8"/>
  <c r="N26" i="8"/>
  <c r="N16" i="8"/>
  <c r="N6" i="8"/>
  <c r="N46" i="7"/>
  <c r="N36" i="7"/>
  <c r="N26" i="7"/>
  <c r="N16" i="7"/>
  <c r="N6" i="7"/>
  <c r="N2" i="7" s="1"/>
  <c r="N46" i="6"/>
  <c r="N36" i="6"/>
  <c r="N26" i="6"/>
  <c r="N16" i="6"/>
  <c r="N6" i="6"/>
  <c r="N46" i="5"/>
  <c r="N36" i="5"/>
  <c r="N26" i="5"/>
  <c r="N16" i="5"/>
  <c r="N6" i="5"/>
  <c r="N46" i="4"/>
  <c r="N36" i="4"/>
  <c r="N26" i="4"/>
  <c r="N16" i="4"/>
  <c r="N6" i="4"/>
  <c r="N2" i="4" s="1"/>
  <c r="N46" i="3"/>
  <c r="N36" i="3"/>
  <c r="N26" i="3"/>
  <c r="N16" i="3"/>
  <c r="N6" i="3"/>
  <c r="N2" i="3" s="1"/>
  <c r="N46" i="2"/>
  <c r="N36" i="2"/>
  <c r="N26" i="2"/>
  <c r="N2" i="2" s="1"/>
  <c r="N16" i="2"/>
  <c r="N6" i="2"/>
  <c r="N2" i="8" l="1"/>
  <c r="N2" i="9"/>
  <c r="N2" i="6"/>
  <c r="N2" i="10"/>
  <c r="N2" i="5"/>
</calcChain>
</file>

<file path=xl/sharedStrings.xml><?xml version="1.0" encoding="utf-8"?>
<sst xmlns="http://schemas.openxmlformats.org/spreadsheetml/2006/main" count="248" uniqueCount="71">
  <si>
    <t>システム名</t>
    <rPh sb="4" eb="5">
      <t>メイ</t>
    </rPh>
    <phoneticPr fontId="2"/>
  </si>
  <si>
    <t>プロジェクト名</t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</si>
  <si>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</si>
  <si>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</si>
  <si>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3">
      <t>ショウニンシャ</t>
    </rPh>
    <phoneticPr fontId="1"/>
  </si>
  <si>
    <t>版</t>
    <rPh sb="0" eb="1">
      <t>ハン</t>
    </rPh>
    <phoneticPr fontId="1"/>
  </si>
  <si>
    <t>DVDレンタルシステム</t>
    <phoneticPr fontId="1"/>
  </si>
  <si>
    <t>サンプル</t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</si>
  <si>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</si>
  <si>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</si>
  <si>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ソフトウェアユニット/関数名</t>
    <rPh sb="11" eb="13">
      <t>カンスウ</t>
    </rPh>
    <rPh sb="13" eb="14">
      <t>メイ</t>
    </rPh>
    <phoneticPr fontId="1"/>
  </si>
  <si>
    <t>テスト
ケースNo</t>
    <phoneticPr fontId="1"/>
  </si>
  <si>
    <t>テスト内容</t>
    <rPh sb="3" eb="5">
      <t>ナイヨウ</t>
    </rPh>
    <phoneticPr fontId="1"/>
  </si>
  <si>
    <t>期待値</t>
    <rPh sb="0" eb="3">
      <t>キタイチ</t>
    </rPh>
    <phoneticPr fontId="1"/>
  </si>
  <si>
    <t>合否</t>
    <rPh sb="0" eb="2">
      <t>ゴウヒ</t>
    </rPh>
    <phoneticPr fontId="1"/>
  </si>
  <si>
    <t>日付</t>
    <rPh sb="0" eb="2">
      <t>ヒヅケ</t>
    </rPh>
    <phoneticPr fontId="1"/>
  </si>
  <si>
    <t>不具合
No</t>
    <rPh sb="0" eb="3">
      <t>フグアイ</t>
    </rPh>
    <phoneticPr fontId="1"/>
  </si>
  <si>
    <t>担当</t>
    <rPh sb="0" eb="2">
      <t>タントウ</t>
    </rPh>
    <phoneticPr fontId="1"/>
  </si>
  <si>
    <t>ソフトウェア
ユニットテスト仕様書
兼成績書
（ブラックボックス）</t>
    <phoneticPr fontId="1"/>
  </si>
  <si>
    <t>入力データ</t>
    <rPh sb="0" eb="2">
      <t>ニュウリョク</t>
    </rPh>
    <phoneticPr fontId="1"/>
  </si>
  <si>
    <t>BT-5001</t>
  </si>
  <si>
    <t>合</t>
  </si>
  <si>
    <t>小舘</t>
  </si>
  <si>
    <t>BT-5002</t>
  </si>
  <si>
    <t>BT-5020</t>
  </si>
  <si>
    <t>BT-5021</t>
  </si>
  <si>
    <t>MemberManager</t>
    <phoneticPr fontId="1"/>
  </si>
  <si>
    <t xml:space="preserve">	インスタンスが正しく初期化されることを確認</t>
    <phoneticPr fontId="1"/>
  </si>
  <si>
    <t>CSVファイル: 正常データ</t>
    <phoneticPr fontId="1"/>
  </si>
  <si>
    <t>会員リストが正しく初期化され、エラーが発生しない。</t>
    <phoneticPr fontId="1"/>
  </si>
  <si>
    <t>初期化時にCSVファイルが存在しない場合の処理を確認</t>
    <phoneticPr fontId="1"/>
  </si>
  <si>
    <t>CSVファイル: 存在しない</t>
    <phoneticPr fontId="1"/>
  </si>
  <si>
    <t>「初期化時に会員情報の読み込みに失敗しました:」というエラーメッセージが表示される。</t>
    <phoneticPr fontId="1"/>
  </si>
  <si>
    <t>loadMembers</t>
    <phoneticPr fontId="1"/>
  </si>
  <si>
    <t>BT-5003</t>
    <phoneticPr fontId="1"/>
  </si>
  <si>
    <t>BT-5004</t>
    <phoneticPr fontId="1"/>
  </si>
  <si>
    <t>正しいCSVフォーマットをロードする場合の確認</t>
    <phoneticPr fontId="1"/>
  </si>
  <si>
    <t>ファイル内容: 正常データ</t>
    <phoneticPr fontId="1"/>
  </si>
  <si>
    <t>会員リストが正しくロードされる。</t>
    <phoneticPr fontId="1"/>
  </si>
  <si>
    <t>不正なフォーマットを含むCSVファイルをロードする場合の確認</t>
    <phoneticPr fontId="1"/>
  </si>
  <si>
    <t>不正なデータを一部含むCSVファイル</t>
    <rPh sb="0" eb="2">
      <t xml:space="preserve">フセイナ </t>
    </rPh>
    <rPh sb="7" eb="9">
      <t xml:space="preserve">イチブ </t>
    </rPh>
    <rPh sb="9" eb="10">
      <t xml:space="preserve">フクム </t>
    </rPh>
    <phoneticPr fontId="1"/>
  </si>
  <si>
    <t>正しいデータのみがリストに追加され、不正なデータは「不正なレコードをスキップ；』という表示と共にスキップされる。</t>
    <rPh sb="26" eb="28">
      <t xml:space="preserve">フセイナレコードヲ </t>
    </rPh>
    <rPh sb="43" eb="45">
      <t xml:space="preserve">ヒョウジトトモニ </t>
    </rPh>
    <phoneticPr fontId="1"/>
  </si>
  <si>
    <t>BT-5005</t>
    <phoneticPr fontId="1"/>
  </si>
  <si>
    <t>isMemberValid</t>
    <phoneticPr fontId="1"/>
  </si>
  <si>
    <t>有効な会員IDが正しく判定されることを確認</t>
    <phoneticPr fontId="1"/>
  </si>
  <si>
    <t>入力ID: "990000000001"（存在する会員ID）</t>
    <phoneticPr fontId="1"/>
  </si>
  <si>
    <t>戻り値：TRUE</t>
    <rPh sb="0" eb="1">
      <t xml:space="preserve">モドリチ </t>
    </rPh>
    <phoneticPr fontId="1"/>
  </si>
  <si>
    <t>BT-5006</t>
    <phoneticPr fontId="1"/>
  </si>
  <si>
    <t>無効な会員IDが正しく判定されることを確認</t>
    <phoneticPr fontId="1"/>
  </si>
  <si>
    <t>入力ID: "123"</t>
    <phoneticPr fontId="1"/>
  </si>
  <si>
    <t>戻り値：FALSE</t>
    <rPh sb="0" eb="1">
      <t xml:space="preserve">モドリチ </t>
    </rPh>
    <phoneticPr fontId="1"/>
  </si>
  <si>
    <t>saveMembers</t>
    <phoneticPr fontId="1"/>
  </si>
  <si>
    <t>addMember</t>
    <phoneticPr fontId="1"/>
  </si>
  <si>
    <t>generateMemberId</t>
    <phoneticPr fontId="1"/>
  </si>
  <si>
    <t>searchMemberById</t>
    <phoneticPr fontId="1"/>
  </si>
  <si>
    <t>deleteMemberById</t>
    <phoneticPr fontId="1"/>
  </si>
  <si>
    <t>getMembers</t>
    <phoneticPr fontId="1"/>
  </si>
  <si>
    <t>getMembersCount</t>
    <phoneticPr fontId="1"/>
  </si>
  <si>
    <t>BT-5018</t>
    <phoneticPr fontId="1"/>
  </si>
  <si>
    <t>日付形式が正しく、該当する会員IDが存在する場合</t>
    <phoneticPr fontId="1"/>
  </si>
  <si>
    <t>date = "20241122"</t>
    <phoneticPr fontId="1"/>
  </si>
  <si>
    <t>会員リスト内の 99YYYYMMDD に一致するIDの数が返される。</t>
    <rPh sb="8" eb="10">
      <t>カイイン</t>
    </rPh>
    <rPh sb="10" eb="12">
      <t>ジョウホウ</t>
    </rPh>
    <phoneticPr fontId="1"/>
  </si>
  <si>
    <t>BT-5019</t>
    <phoneticPr fontId="1"/>
  </si>
  <si>
    <t>日付形式が正しく、該当する会員IDが存在しない場合</t>
    <phoneticPr fontId="1"/>
  </si>
  <si>
    <t>date = "20241121"</t>
    <phoneticPr fontId="1"/>
  </si>
  <si>
    <t>0 が返される。</t>
    <phoneticPr fontId="1"/>
  </si>
  <si>
    <t>空文字列の日付を渡した場合</t>
    <phoneticPr fontId="1"/>
  </si>
  <si>
    <t>date = ""</t>
    <phoneticPr fontId="1"/>
  </si>
  <si>
    <t>会員リスト全体がカウントされる。</t>
    <phoneticPr fontId="1"/>
  </si>
  <si>
    <t>不正な日付形式（例: 数字以外の文字列）が渡された場合</t>
    <phoneticPr fontId="1"/>
  </si>
  <si>
    <t>date = "invalid"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</si>
</sst>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0" fontId="5" fillId="0" borderId="40" xfId="0" applyFont="1" applyBorder="1" applyAlignment="1">
      <alignment vertical="center" wrapText="1"/>
    </xf>
    <xf numFmtId="0" fontId="5" fillId="0" borderId="41" xfId="0" applyFont="1" applyBorder="1" applyAlignment="1">
      <alignment vertical="center" wrapText="1"/>
    </xf>
    <xf numFmtId="0" fontId="0" fillId="0" borderId="23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55"/>
  <sheetViews>
    <sheetView tabSelected="1" zoomScaleNormal="100" workbookViewId="0">
      <pane ySplit="5" topLeftCell="A6" activePane="bottomLeft" state="frozen"/>
      <selection activeCell="A6" sqref="A6"/>
      <selection pane="bottomLeft" activeCell="D13" sqref="D13:E13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18</v>
      </c>
      <c r="B1" s="22"/>
      <c r="C1" s="25" t="s">
        <v>0</v>
      </c>
      <c r="D1" s="26"/>
      <c r="E1" s="27" t="s">
        <v>1</v>
      </c>
      <c r="F1" s="26"/>
      <c r="G1" s="1" t="s">
        <v>2</v>
      </c>
      <c r="H1" s="27" t="s">
        <v>3</v>
      </c>
      <c r="I1" s="26"/>
      <c r="J1" s="28" t="s">
        <v>4</v>
      </c>
      <c r="K1" s="26"/>
      <c r="L1" s="2" t="s">
        <v>5</v>
      </c>
    </row>
    <row r="2" spans="1:14" ht="36" customHeight="1" thickBot="1">
      <c r="A2" s="23"/>
      <c r="B2" s="24"/>
      <c r="C2" s="29" t="s">
        <v>6</v>
      </c>
      <c r="D2" s="30"/>
      <c r="E2" s="31" t="s">
        <v>7</v>
      </c>
      <c r="F2" s="30"/>
      <c r="G2" s="3">
        <v>41255</v>
      </c>
      <c r="H2" s="32" t="s">
        <v>8</v>
      </c>
      <c r="I2" s="33"/>
      <c r="J2" s="34" t="s">
        <v>9</v>
      </c>
      <c r="K2" s="33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26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20</v>
      </c>
      <c r="B6" s="35" t="s">
        <v>27</v>
      </c>
      <c r="C6" s="35"/>
      <c r="D6" s="35" t="s">
        <v>28</v>
      </c>
      <c r="E6" s="35"/>
      <c r="F6" s="35" t="s">
        <v>29</v>
      </c>
      <c r="G6" s="35"/>
      <c r="H6" s="10" t="s">
        <v>21</v>
      </c>
      <c r="I6" s="36">
        <v>41274</v>
      </c>
      <c r="J6" s="36"/>
      <c r="K6" s="10"/>
      <c r="L6" s="11" t="s">
        <v>22</v>
      </c>
      <c r="N6">
        <f>IF(A6&lt;&gt;"",1,0)</f>
        <v>1</v>
      </c>
    </row>
    <row r="7" spans="1:14" ht="70.5" customHeight="1">
      <c r="A7" s="12" t="s">
        <v>23</v>
      </c>
      <c r="B7" s="37" t="s">
        <v>30</v>
      </c>
      <c r="C7" s="37"/>
      <c r="D7" s="37" t="s">
        <v>31</v>
      </c>
      <c r="E7" s="37"/>
      <c r="F7" s="37" t="s">
        <v>32</v>
      </c>
      <c r="G7" s="37"/>
      <c r="H7" s="13" t="s">
        <v>21</v>
      </c>
      <c r="I7" s="38">
        <v>41274</v>
      </c>
      <c r="J7" s="38"/>
      <c r="K7" s="13"/>
      <c r="L7" s="14" t="s">
        <v>22</v>
      </c>
    </row>
    <row r="8" spans="1:14" ht="70.5" customHeight="1">
      <c r="A8" s="12"/>
      <c r="B8" s="37"/>
      <c r="C8" s="37"/>
      <c r="D8" s="37"/>
      <c r="E8" s="37"/>
      <c r="F8" s="37"/>
      <c r="G8" s="37"/>
      <c r="H8" s="13"/>
      <c r="I8" s="38"/>
      <c r="J8" s="38"/>
      <c r="K8" s="13"/>
      <c r="L8" s="14"/>
    </row>
    <row r="9" spans="1:14" ht="70.5" customHeight="1">
      <c r="A9" s="12"/>
      <c r="B9" s="37"/>
      <c r="C9" s="37"/>
      <c r="D9" s="37"/>
      <c r="E9" s="37"/>
      <c r="F9" s="37"/>
      <c r="G9" s="37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50"/>
      <c r="C15" s="50"/>
      <c r="D15" s="50"/>
      <c r="E15" s="50"/>
      <c r="F15" s="50"/>
      <c r="G15" s="50"/>
      <c r="H15" s="16"/>
      <c r="I15" s="51"/>
      <c r="J15" s="51"/>
      <c r="K15" s="16"/>
      <c r="L15" s="17"/>
    </row>
    <row r="16" spans="1:14" ht="70.5" customHeight="1">
      <c r="A16" s="18"/>
      <c r="B16" s="52"/>
      <c r="C16" s="52"/>
      <c r="D16" s="52"/>
      <c r="E16" s="52"/>
      <c r="F16" s="52"/>
      <c r="G16" s="52"/>
      <c r="H16" s="19"/>
      <c r="I16" s="53"/>
      <c r="J16" s="53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50"/>
      <c r="C25" s="50"/>
      <c r="D25" s="50"/>
      <c r="E25" s="50"/>
      <c r="F25" s="50"/>
      <c r="G25" s="50"/>
      <c r="H25" s="16"/>
      <c r="I25" s="51"/>
      <c r="J25" s="51"/>
      <c r="K25" s="16"/>
      <c r="L25" s="17"/>
    </row>
    <row r="26" spans="1:14" ht="70.5" customHeight="1">
      <c r="A26" s="18"/>
      <c r="B26" s="52"/>
      <c r="C26" s="52"/>
      <c r="D26" s="52"/>
      <c r="E26" s="52"/>
      <c r="F26" s="52"/>
      <c r="G26" s="52"/>
      <c r="H26" s="19"/>
      <c r="I26" s="53"/>
      <c r="J26" s="53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50"/>
      <c r="C35" s="50"/>
      <c r="D35" s="50"/>
      <c r="E35" s="50"/>
      <c r="F35" s="50"/>
      <c r="G35" s="50"/>
      <c r="H35" s="16"/>
      <c r="I35" s="51"/>
      <c r="J35" s="51"/>
      <c r="K35" s="16"/>
      <c r="L35" s="17"/>
    </row>
    <row r="36" spans="1:14" ht="70.5" customHeight="1">
      <c r="A36" s="18"/>
      <c r="B36" s="52"/>
      <c r="C36" s="52"/>
      <c r="D36" s="52"/>
      <c r="E36" s="52"/>
      <c r="F36" s="52"/>
      <c r="G36" s="52"/>
      <c r="H36" s="19"/>
      <c r="I36" s="53"/>
      <c r="J36" s="53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50"/>
      <c r="C45" s="50"/>
      <c r="D45" s="50"/>
      <c r="E45" s="50"/>
      <c r="F45" s="50"/>
      <c r="G45" s="50"/>
      <c r="H45" s="16"/>
      <c r="I45" s="51"/>
      <c r="J45" s="51"/>
      <c r="K45" s="16"/>
      <c r="L45" s="17"/>
    </row>
    <row r="46" spans="1:14" ht="70.5" customHeight="1">
      <c r="A46" s="18"/>
      <c r="B46" s="52"/>
      <c r="C46" s="52"/>
      <c r="D46" s="52"/>
      <c r="E46" s="52"/>
      <c r="F46" s="52"/>
      <c r="G46" s="52"/>
      <c r="H46" s="19"/>
      <c r="I46" s="53"/>
      <c r="J46" s="53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50"/>
      <c r="C55" s="50"/>
      <c r="D55" s="50"/>
      <c r="E55" s="50"/>
      <c r="F55" s="50"/>
      <c r="G55" s="50"/>
      <c r="H55" s="16"/>
      <c r="I55" s="51"/>
      <c r="J55" s="51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N55"/>
  <sheetViews>
    <sheetView zoomScaleNormal="100" workbookViewId="0">
      <pane ySplit="5" topLeftCell="A6" activePane="bottomLeft" state="frozen"/>
      <selection activeCell="A6" sqref="A6"/>
      <selection pane="bottomLeft" activeCell="L7" sqref="H7:L7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18</v>
      </c>
      <c r="B1" s="22"/>
      <c r="C1" s="25" t="s">
        <v>0</v>
      </c>
      <c r="D1" s="26"/>
      <c r="E1" s="27" t="s">
        <v>1</v>
      </c>
      <c r="F1" s="26"/>
      <c r="G1" s="1" t="s">
        <v>2</v>
      </c>
      <c r="H1" s="27" t="s">
        <v>3</v>
      </c>
      <c r="I1" s="26"/>
      <c r="J1" s="28" t="s">
        <v>4</v>
      </c>
      <c r="K1" s="26"/>
      <c r="L1" s="2" t="s">
        <v>5</v>
      </c>
    </row>
    <row r="2" spans="1:14" ht="36" customHeight="1" thickBot="1">
      <c r="A2" s="23"/>
      <c r="B2" s="24"/>
      <c r="C2" s="29" t="s">
        <v>6</v>
      </c>
      <c r="D2" s="30"/>
      <c r="E2" s="31" t="s">
        <v>7</v>
      </c>
      <c r="F2" s="30"/>
      <c r="G2" s="3">
        <v>41255</v>
      </c>
      <c r="H2" s="32" t="s">
        <v>8</v>
      </c>
      <c r="I2" s="33"/>
      <c r="J2" s="34" t="s">
        <v>9</v>
      </c>
      <c r="K2" s="33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56" t="s">
        <v>33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34</v>
      </c>
      <c r="B6" s="35" t="s">
        <v>36</v>
      </c>
      <c r="C6" s="35"/>
      <c r="D6" s="35" t="s">
        <v>37</v>
      </c>
      <c r="E6" s="35"/>
      <c r="F6" s="35" t="s">
        <v>38</v>
      </c>
      <c r="G6" s="35"/>
      <c r="H6" s="10" t="s">
        <v>21</v>
      </c>
      <c r="I6" s="36">
        <v>41274</v>
      </c>
      <c r="J6" s="36"/>
      <c r="K6" s="10"/>
      <c r="L6" s="11" t="s">
        <v>22</v>
      </c>
      <c r="N6">
        <f>IF(A6&lt;&gt;"",1,0)</f>
        <v>1</v>
      </c>
    </row>
    <row r="7" spans="1:14" ht="70.5" customHeight="1">
      <c r="A7" s="12" t="s">
        <v>35</v>
      </c>
      <c r="B7" s="54" t="s">
        <v>39</v>
      </c>
      <c r="C7" s="55"/>
      <c r="D7" s="37" t="s">
        <v>40</v>
      </c>
      <c r="E7" s="37"/>
      <c r="F7" s="37" t="s">
        <v>41</v>
      </c>
      <c r="G7" s="37"/>
      <c r="H7" s="13" t="s">
        <v>21</v>
      </c>
      <c r="I7" s="38">
        <v>41274</v>
      </c>
      <c r="J7" s="38"/>
      <c r="K7" s="13"/>
      <c r="L7" s="14" t="s">
        <v>22</v>
      </c>
    </row>
    <row r="8" spans="1:14" ht="70.5" customHeight="1">
      <c r="A8" s="12"/>
      <c r="B8" s="54"/>
      <c r="C8" s="55"/>
      <c r="D8" s="37"/>
      <c r="E8" s="37"/>
      <c r="F8" s="37"/>
      <c r="G8" s="37"/>
      <c r="H8" s="13"/>
      <c r="I8" s="38"/>
      <c r="J8" s="38"/>
      <c r="K8" s="13"/>
      <c r="L8" s="14"/>
    </row>
    <row r="9" spans="1:14" ht="70.5" customHeight="1">
      <c r="A9" s="12"/>
      <c r="B9" s="37"/>
      <c r="C9" s="37"/>
      <c r="D9" s="37"/>
      <c r="E9" s="37"/>
      <c r="F9" s="37"/>
      <c r="G9" s="37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50"/>
      <c r="C15" s="50"/>
      <c r="D15" s="50"/>
      <c r="E15" s="50"/>
      <c r="F15" s="50"/>
      <c r="G15" s="50"/>
      <c r="H15" s="16"/>
      <c r="I15" s="51"/>
      <c r="J15" s="51"/>
      <c r="K15" s="16"/>
      <c r="L15" s="17"/>
    </row>
    <row r="16" spans="1:14" ht="70.5" customHeight="1">
      <c r="A16" s="18"/>
      <c r="B16" s="52"/>
      <c r="C16" s="52"/>
      <c r="D16" s="52"/>
      <c r="E16" s="52"/>
      <c r="F16" s="52"/>
      <c r="G16" s="52"/>
      <c r="H16" s="19"/>
      <c r="I16" s="53"/>
      <c r="J16" s="53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50"/>
      <c r="C25" s="50"/>
      <c r="D25" s="50"/>
      <c r="E25" s="50"/>
      <c r="F25" s="50"/>
      <c r="G25" s="50"/>
      <c r="H25" s="16"/>
      <c r="I25" s="51"/>
      <c r="J25" s="51"/>
      <c r="K25" s="16"/>
      <c r="L25" s="17"/>
    </row>
    <row r="26" spans="1:14" ht="70.5" customHeight="1">
      <c r="A26" s="18"/>
      <c r="B26" s="52"/>
      <c r="C26" s="52"/>
      <c r="D26" s="52"/>
      <c r="E26" s="52"/>
      <c r="F26" s="52"/>
      <c r="G26" s="52"/>
      <c r="H26" s="19"/>
      <c r="I26" s="53"/>
      <c r="J26" s="53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50"/>
      <c r="C35" s="50"/>
      <c r="D35" s="50"/>
      <c r="E35" s="50"/>
      <c r="F35" s="50"/>
      <c r="G35" s="50"/>
      <c r="H35" s="16"/>
      <c r="I35" s="51"/>
      <c r="J35" s="51"/>
      <c r="K35" s="16"/>
      <c r="L35" s="17"/>
    </row>
    <row r="36" spans="1:14" ht="70.5" customHeight="1">
      <c r="A36" s="18"/>
      <c r="B36" s="52"/>
      <c r="C36" s="52"/>
      <c r="D36" s="52"/>
      <c r="E36" s="52"/>
      <c r="F36" s="52"/>
      <c r="G36" s="52"/>
      <c r="H36" s="19"/>
      <c r="I36" s="53"/>
      <c r="J36" s="53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50"/>
      <c r="C45" s="50"/>
      <c r="D45" s="50"/>
      <c r="E45" s="50"/>
      <c r="F45" s="50"/>
      <c r="G45" s="50"/>
      <c r="H45" s="16"/>
      <c r="I45" s="51"/>
      <c r="J45" s="51"/>
      <c r="K45" s="16"/>
      <c r="L45" s="17"/>
    </row>
    <row r="46" spans="1:14" ht="70.5" customHeight="1">
      <c r="A46" s="18"/>
      <c r="B46" s="52"/>
      <c r="C46" s="52"/>
      <c r="D46" s="52"/>
      <c r="E46" s="52"/>
      <c r="F46" s="52"/>
      <c r="G46" s="52"/>
      <c r="H46" s="19"/>
      <c r="I46" s="53"/>
      <c r="J46" s="53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50"/>
      <c r="C55" s="50"/>
      <c r="D55" s="50"/>
      <c r="E55" s="50"/>
      <c r="F55" s="50"/>
      <c r="G55" s="50"/>
      <c r="H55" s="16"/>
      <c r="I55" s="51"/>
      <c r="J55" s="51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55"/>
  <sheetViews>
    <sheetView zoomScaleNormal="100" workbookViewId="0">
      <pane ySplit="5" topLeftCell="A6" activePane="bottomLeft" state="frozen"/>
      <selection activeCell="A6" sqref="A6"/>
      <selection pane="bottomLeft" activeCell="H7" sqref="H7:L7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18</v>
      </c>
      <c r="B1" s="22"/>
      <c r="C1" s="25" t="s">
        <v>0</v>
      </c>
      <c r="D1" s="26"/>
      <c r="E1" s="27" t="s">
        <v>1</v>
      </c>
      <c r="F1" s="26"/>
      <c r="G1" s="1" t="s">
        <v>2</v>
      </c>
      <c r="H1" s="27" t="s">
        <v>3</v>
      </c>
      <c r="I1" s="26"/>
      <c r="J1" s="28" t="s">
        <v>4</v>
      </c>
      <c r="K1" s="26"/>
      <c r="L1" s="2" t="s">
        <v>5</v>
      </c>
    </row>
    <row r="2" spans="1:14" ht="36" customHeight="1" thickBot="1">
      <c r="A2" s="23"/>
      <c r="B2" s="24"/>
      <c r="C2" s="29" t="s">
        <v>6</v>
      </c>
      <c r="D2" s="30"/>
      <c r="E2" s="31" t="s">
        <v>7</v>
      </c>
      <c r="F2" s="30"/>
      <c r="G2" s="3">
        <v>41255</v>
      </c>
      <c r="H2" s="32" t="s">
        <v>8</v>
      </c>
      <c r="I2" s="33"/>
      <c r="J2" s="34" t="s">
        <v>9</v>
      </c>
      <c r="K2" s="33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56" t="s">
        <v>43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42</v>
      </c>
      <c r="B6" s="35" t="s">
        <v>44</v>
      </c>
      <c r="C6" s="35"/>
      <c r="D6" s="35" t="s">
        <v>45</v>
      </c>
      <c r="E6" s="35"/>
      <c r="F6" s="35" t="s">
        <v>46</v>
      </c>
      <c r="G6" s="35"/>
      <c r="H6" s="10" t="s">
        <v>21</v>
      </c>
      <c r="I6" s="36">
        <v>41274</v>
      </c>
      <c r="J6" s="36"/>
      <c r="K6" s="10"/>
      <c r="L6" s="11" t="s">
        <v>22</v>
      </c>
      <c r="N6">
        <f>IF(A6&lt;&gt;"",1,0)</f>
        <v>1</v>
      </c>
    </row>
    <row r="7" spans="1:14" ht="70.5" customHeight="1">
      <c r="A7" s="12" t="s">
        <v>47</v>
      </c>
      <c r="B7" s="37" t="s">
        <v>48</v>
      </c>
      <c r="C7" s="37"/>
      <c r="D7" s="37" t="s">
        <v>49</v>
      </c>
      <c r="E7" s="37"/>
      <c r="F7" s="37" t="s">
        <v>50</v>
      </c>
      <c r="G7" s="37"/>
      <c r="H7" s="13" t="s">
        <v>21</v>
      </c>
      <c r="I7" s="38">
        <v>41274</v>
      </c>
      <c r="J7" s="38"/>
      <c r="K7" s="13"/>
      <c r="L7" s="14" t="s">
        <v>22</v>
      </c>
    </row>
    <row r="8" spans="1:14" ht="70.5" customHeight="1">
      <c r="A8" s="12"/>
      <c r="B8" s="37"/>
      <c r="C8" s="37"/>
      <c r="D8" s="37"/>
      <c r="E8" s="37"/>
      <c r="F8" s="37"/>
      <c r="G8" s="37"/>
      <c r="H8" s="13"/>
      <c r="I8" s="38"/>
      <c r="J8" s="38"/>
      <c r="K8" s="13"/>
      <c r="L8" s="14"/>
    </row>
    <row r="9" spans="1:14" ht="70.5" customHeight="1">
      <c r="A9" s="12"/>
      <c r="B9" s="37"/>
      <c r="C9" s="37"/>
      <c r="D9" s="37"/>
      <c r="E9" s="37"/>
      <c r="F9" s="37"/>
      <c r="G9" s="37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50"/>
      <c r="C15" s="50"/>
      <c r="D15" s="50"/>
      <c r="E15" s="50"/>
      <c r="F15" s="50"/>
      <c r="G15" s="50"/>
      <c r="H15" s="16"/>
      <c r="I15" s="51"/>
      <c r="J15" s="51"/>
      <c r="K15" s="16"/>
      <c r="L15" s="17"/>
    </row>
    <row r="16" spans="1:14" ht="70.5" customHeight="1">
      <c r="A16" s="18"/>
      <c r="B16" s="52"/>
      <c r="C16" s="52"/>
      <c r="D16" s="52"/>
      <c r="E16" s="52"/>
      <c r="F16" s="52"/>
      <c r="G16" s="52"/>
      <c r="H16" s="19"/>
      <c r="I16" s="53"/>
      <c r="J16" s="53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50"/>
      <c r="C25" s="50"/>
      <c r="D25" s="50"/>
      <c r="E25" s="50"/>
      <c r="F25" s="50"/>
      <c r="G25" s="50"/>
      <c r="H25" s="16"/>
      <c r="I25" s="51"/>
      <c r="J25" s="51"/>
      <c r="K25" s="16"/>
      <c r="L25" s="17"/>
    </row>
    <row r="26" spans="1:14" ht="70.5" customHeight="1">
      <c r="A26" s="18"/>
      <c r="B26" s="52"/>
      <c r="C26" s="52"/>
      <c r="D26" s="52"/>
      <c r="E26" s="52"/>
      <c r="F26" s="52"/>
      <c r="G26" s="52"/>
      <c r="H26" s="19"/>
      <c r="I26" s="53"/>
      <c r="J26" s="53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50"/>
      <c r="C35" s="50"/>
      <c r="D35" s="50"/>
      <c r="E35" s="50"/>
      <c r="F35" s="50"/>
      <c r="G35" s="50"/>
      <c r="H35" s="16"/>
      <c r="I35" s="51"/>
      <c r="J35" s="51"/>
      <c r="K35" s="16"/>
      <c r="L35" s="17"/>
    </row>
    <row r="36" spans="1:14" ht="70.5" customHeight="1">
      <c r="A36" s="18"/>
      <c r="B36" s="52"/>
      <c r="C36" s="52"/>
      <c r="D36" s="52"/>
      <c r="E36" s="52"/>
      <c r="F36" s="52"/>
      <c r="G36" s="52"/>
      <c r="H36" s="19"/>
      <c r="I36" s="53"/>
      <c r="J36" s="53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50"/>
      <c r="C45" s="50"/>
      <c r="D45" s="50"/>
      <c r="E45" s="50"/>
      <c r="F45" s="50"/>
      <c r="G45" s="50"/>
      <c r="H45" s="16"/>
      <c r="I45" s="51"/>
      <c r="J45" s="51"/>
      <c r="K45" s="16"/>
      <c r="L45" s="17"/>
    </row>
    <row r="46" spans="1:14" ht="70.5" customHeight="1">
      <c r="A46" s="18"/>
      <c r="B46" s="52"/>
      <c r="C46" s="52"/>
      <c r="D46" s="52"/>
      <c r="E46" s="52"/>
      <c r="F46" s="52"/>
      <c r="G46" s="52"/>
      <c r="H46" s="19"/>
      <c r="I46" s="53"/>
      <c r="J46" s="53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50"/>
      <c r="C55" s="50"/>
      <c r="D55" s="50"/>
      <c r="E55" s="50"/>
      <c r="F55" s="50"/>
      <c r="G55" s="50"/>
      <c r="H55" s="16"/>
      <c r="I55" s="51"/>
      <c r="J55" s="51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FF0000"/>
  </sheetPr>
  <dimension ref="A1:N55"/>
  <sheetViews>
    <sheetView zoomScaleNormal="100" workbookViewId="0">
      <pane ySplit="5" topLeftCell="A6" activePane="bottomLeft" state="frozen"/>
      <selection activeCell="L6" sqref="L6"/>
      <selection pane="bottomLeft" activeCell="L6" sqref="L6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18</v>
      </c>
      <c r="B1" s="22"/>
      <c r="C1" s="25" t="s">
        <v>0</v>
      </c>
      <c r="D1" s="26"/>
      <c r="E1" s="27" t="s">
        <v>1</v>
      </c>
      <c r="F1" s="26"/>
      <c r="G1" s="1" t="s">
        <v>2</v>
      </c>
      <c r="H1" s="27" t="s">
        <v>3</v>
      </c>
      <c r="I1" s="26"/>
      <c r="J1" s="28" t="s">
        <v>4</v>
      </c>
      <c r="K1" s="26"/>
      <c r="L1" s="2" t="s">
        <v>5</v>
      </c>
    </row>
    <row r="2" spans="1:14" ht="36" customHeight="1" thickBot="1">
      <c r="A2" s="23"/>
      <c r="B2" s="24"/>
      <c r="C2" s="29" t="s">
        <v>6</v>
      </c>
      <c r="D2" s="30"/>
      <c r="E2" s="31"/>
      <c r="F2" s="30"/>
      <c r="G2" s="3"/>
      <c r="H2" s="32"/>
      <c r="I2" s="33"/>
      <c r="J2" s="34"/>
      <c r="K2" s="33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56" t="s">
        <v>51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/>
      <c r="B6" s="35"/>
      <c r="C6" s="35"/>
      <c r="D6" s="35"/>
      <c r="E6" s="35"/>
      <c r="F6" s="35"/>
      <c r="G6" s="35"/>
      <c r="H6" s="10"/>
      <c r="I6" s="36"/>
      <c r="J6" s="36"/>
      <c r="K6" s="10"/>
      <c r="L6" s="11"/>
      <c r="N6">
        <f>IF(A6&lt;&gt;"",1,0)</f>
        <v>0</v>
      </c>
    </row>
    <row r="7" spans="1:14" ht="70.5" customHeight="1">
      <c r="A7" s="12"/>
      <c r="B7" s="37"/>
      <c r="C7" s="37"/>
      <c r="D7" s="37"/>
      <c r="E7" s="37"/>
      <c r="F7" s="37"/>
      <c r="G7" s="37"/>
      <c r="H7" s="13"/>
      <c r="I7" s="38"/>
      <c r="J7" s="38"/>
      <c r="K7" s="13"/>
      <c r="L7" s="14"/>
    </row>
    <row r="8" spans="1:14" ht="70.5" customHeight="1">
      <c r="A8" s="12"/>
      <c r="B8" s="37"/>
      <c r="C8" s="37"/>
      <c r="D8" s="37"/>
      <c r="E8" s="37"/>
      <c r="F8" s="37"/>
      <c r="G8" s="37"/>
      <c r="H8" s="13"/>
      <c r="I8" s="38"/>
      <c r="J8" s="38"/>
      <c r="K8" s="13"/>
      <c r="L8" s="14"/>
    </row>
    <row r="9" spans="1:14" ht="70.5" customHeight="1">
      <c r="A9" s="12"/>
      <c r="B9" s="37"/>
      <c r="C9" s="37"/>
      <c r="D9" s="37"/>
      <c r="E9" s="37"/>
      <c r="F9" s="37"/>
      <c r="G9" s="37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50"/>
      <c r="C15" s="50"/>
      <c r="D15" s="50"/>
      <c r="E15" s="50"/>
      <c r="F15" s="50"/>
      <c r="G15" s="50"/>
      <c r="H15" s="16"/>
      <c r="I15" s="51"/>
      <c r="J15" s="51"/>
      <c r="K15" s="16"/>
      <c r="L15" s="17"/>
    </row>
    <row r="16" spans="1:14" ht="70.5" customHeight="1">
      <c r="A16" s="18"/>
      <c r="B16" s="52"/>
      <c r="C16" s="52"/>
      <c r="D16" s="52"/>
      <c r="E16" s="52"/>
      <c r="F16" s="52"/>
      <c r="G16" s="52"/>
      <c r="H16" s="19"/>
      <c r="I16" s="53"/>
      <c r="J16" s="53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50"/>
      <c r="C25" s="50"/>
      <c r="D25" s="50"/>
      <c r="E25" s="50"/>
      <c r="F25" s="50"/>
      <c r="G25" s="50"/>
      <c r="H25" s="16"/>
      <c r="I25" s="51"/>
      <c r="J25" s="51"/>
      <c r="K25" s="16"/>
      <c r="L25" s="17"/>
    </row>
    <row r="26" spans="1:14" ht="70.5" customHeight="1">
      <c r="A26" s="18"/>
      <c r="B26" s="52"/>
      <c r="C26" s="52"/>
      <c r="D26" s="52"/>
      <c r="E26" s="52"/>
      <c r="F26" s="52"/>
      <c r="G26" s="52"/>
      <c r="H26" s="19"/>
      <c r="I26" s="53"/>
      <c r="J26" s="53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50"/>
      <c r="C35" s="50"/>
      <c r="D35" s="50"/>
      <c r="E35" s="50"/>
      <c r="F35" s="50"/>
      <c r="G35" s="50"/>
      <c r="H35" s="16"/>
      <c r="I35" s="51"/>
      <c r="J35" s="51"/>
      <c r="K35" s="16"/>
      <c r="L35" s="17"/>
    </row>
    <row r="36" spans="1:14" ht="70.5" customHeight="1">
      <c r="A36" s="18"/>
      <c r="B36" s="52"/>
      <c r="C36" s="52"/>
      <c r="D36" s="52"/>
      <c r="E36" s="52"/>
      <c r="F36" s="52"/>
      <c r="G36" s="52"/>
      <c r="H36" s="19"/>
      <c r="I36" s="53"/>
      <c r="J36" s="53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50"/>
      <c r="C45" s="50"/>
      <c r="D45" s="50"/>
      <c r="E45" s="50"/>
      <c r="F45" s="50"/>
      <c r="G45" s="50"/>
      <c r="H45" s="16"/>
      <c r="I45" s="51"/>
      <c r="J45" s="51"/>
      <c r="K45" s="16"/>
      <c r="L45" s="17"/>
    </row>
    <row r="46" spans="1:14" ht="70.5" customHeight="1">
      <c r="A46" s="18"/>
      <c r="B46" s="52"/>
      <c r="C46" s="52"/>
      <c r="D46" s="52"/>
      <c r="E46" s="52"/>
      <c r="F46" s="52"/>
      <c r="G46" s="52"/>
      <c r="H46" s="19"/>
      <c r="I46" s="53"/>
      <c r="J46" s="53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50"/>
      <c r="C55" s="50"/>
      <c r="D55" s="50"/>
      <c r="E55" s="50"/>
      <c r="F55" s="50"/>
      <c r="G55" s="50"/>
      <c r="H55" s="16"/>
      <c r="I55" s="51"/>
      <c r="J55" s="51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FF0000"/>
  </sheetPr>
  <dimension ref="A1:N55"/>
  <sheetViews>
    <sheetView zoomScaleNormal="100" workbookViewId="0">
      <pane ySplit="5" topLeftCell="A6" activePane="bottomLeft" state="frozen"/>
      <selection activeCell="L6" sqref="L6"/>
      <selection pane="bottomLeft" activeCell="L6" sqref="L6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18</v>
      </c>
      <c r="B1" s="22"/>
      <c r="C1" s="25" t="s">
        <v>0</v>
      </c>
      <c r="D1" s="26"/>
      <c r="E1" s="27" t="s">
        <v>1</v>
      </c>
      <c r="F1" s="26"/>
      <c r="G1" s="1" t="s">
        <v>2</v>
      </c>
      <c r="H1" s="27" t="s">
        <v>3</v>
      </c>
      <c r="I1" s="26"/>
      <c r="J1" s="28" t="s">
        <v>4</v>
      </c>
      <c r="K1" s="26"/>
      <c r="L1" s="2" t="s">
        <v>5</v>
      </c>
    </row>
    <row r="2" spans="1:14" ht="36" customHeight="1" thickBot="1">
      <c r="A2" s="23"/>
      <c r="B2" s="24"/>
      <c r="C2" s="29" t="s">
        <v>6</v>
      </c>
      <c r="D2" s="30"/>
      <c r="E2" s="31"/>
      <c r="F2" s="30"/>
      <c r="G2" s="3"/>
      <c r="H2" s="32"/>
      <c r="I2" s="33"/>
      <c r="J2" s="34"/>
      <c r="K2" s="33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56" t="s">
        <v>52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/>
      <c r="B6" s="35"/>
      <c r="C6" s="35"/>
      <c r="D6" s="35"/>
      <c r="E6" s="35"/>
      <c r="F6" s="35"/>
      <c r="G6" s="35"/>
      <c r="H6" s="10"/>
      <c r="I6" s="36"/>
      <c r="J6" s="36"/>
      <c r="K6" s="10"/>
      <c r="L6" s="11"/>
      <c r="N6">
        <f>IF(A6&lt;&gt;"",1,0)</f>
        <v>0</v>
      </c>
    </row>
    <row r="7" spans="1:14" ht="70.5" customHeight="1">
      <c r="A7" s="12"/>
      <c r="B7" s="37"/>
      <c r="C7" s="37"/>
      <c r="D7" s="37"/>
      <c r="E7" s="37"/>
      <c r="F7" s="37"/>
      <c r="G7" s="37"/>
      <c r="H7" s="13"/>
      <c r="I7" s="38"/>
      <c r="J7" s="38"/>
      <c r="K7" s="13"/>
      <c r="L7" s="14"/>
    </row>
    <row r="8" spans="1:14" ht="70.5" customHeight="1">
      <c r="A8" s="12"/>
      <c r="B8" s="37"/>
      <c r="C8" s="37"/>
      <c r="D8" s="37"/>
      <c r="E8" s="37"/>
      <c r="F8" s="37"/>
      <c r="G8" s="37"/>
      <c r="H8" s="13"/>
      <c r="I8" s="38"/>
      <c r="J8" s="38"/>
      <c r="K8" s="13"/>
      <c r="L8" s="14"/>
    </row>
    <row r="9" spans="1:14" ht="70.5" customHeight="1">
      <c r="A9" s="12"/>
      <c r="B9" s="37"/>
      <c r="C9" s="37"/>
      <c r="D9" s="37"/>
      <c r="E9" s="37"/>
      <c r="F9" s="37"/>
      <c r="G9" s="37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50"/>
      <c r="C15" s="50"/>
      <c r="D15" s="50"/>
      <c r="E15" s="50"/>
      <c r="F15" s="50"/>
      <c r="G15" s="50"/>
      <c r="H15" s="16"/>
      <c r="I15" s="51"/>
      <c r="J15" s="51"/>
      <c r="K15" s="16"/>
      <c r="L15" s="17"/>
    </row>
    <row r="16" spans="1:14" ht="70.5" customHeight="1">
      <c r="A16" s="18"/>
      <c r="B16" s="52"/>
      <c r="C16" s="52"/>
      <c r="D16" s="52"/>
      <c r="E16" s="52"/>
      <c r="F16" s="52"/>
      <c r="G16" s="52"/>
      <c r="H16" s="19"/>
      <c r="I16" s="53"/>
      <c r="J16" s="53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50"/>
      <c r="C25" s="50"/>
      <c r="D25" s="50"/>
      <c r="E25" s="50"/>
      <c r="F25" s="50"/>
      <c r="G25" s="50"/>
      <c r="H25" s="16"/>
      <c r="I25" s="51"/>
      <c r="J25" s="51"/>
      <c r="K25" s="16"/>
      <c r="L25" s="17"/>
    </row>
    <row r="26" spans="1:14" ht="70.5" customHeight="1">
      <c r="A26" s="18"/>
      <c r="B26" s="52"/>
      <c r="C26" s="52"/>
      <c r="D26" s="52"/>
      <c r="E26" s="52"/>
      <c r="F26" s="52"/>
      <c r="G26" s="52"/>
      <c r="H26" s="19"/>
      <c r="I26" s="53"/>
      <c r="J26" s="53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50"/>
      <c r="C35" s="50"/>
      <c r="D35" s="50"/>
      <c r="E35" s="50"/>
      <c r="F35" s="50"/>
      <c r="G35" s="50"/>
      <c r="H35" s="16"/>
      <c r="I35" s="51"/>
      <c r="J35" s="51"/>
      <c r="K35" s="16"/>
      <c r="L35" s="17"/>
    </row>
    <row r="36" spans="1:14" ht="70.5" customHeight="1">
      <c r="A36" s="18"/>
      <c r="B36" s="52"/>
      <c r="C36" s="52"/>
      <c r="D36" s="52"/>
      <c r="E36" s="52"/>
      <c r="F36" s="52"/>
      <c r="G36" s="52"/>
      <c r="H36" s="19"/>
      <c r="I36" s="53"/>
      <c r="J36" s="53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50"/>
      <c r="C45" s="50"/>
      <c r="D45" s="50"/>
      <c r="E45" s="50"/>
      <c r="F45" s="50"/>
      <c r="G45" s="50"/>
      <c r="H45" s="16"/>
      <c r="I45" s="51"/>
      <c r="J45" s="51"/>
      <c r="K45" s="16"/>
      <c r="L45" s="17"/>
    </row>
    <row r="46" spans="1:14" ht="70.5" customHeight="1">
      <c r="A46" s="18"/>
      <c r="B46" s="52"/>
      <c r="C46" s="52"/>
      <c r="D46" s="52"/>
      <c r="E46" s="52"/>
      <c r="F46" s="52"/>
      <c r="G46" s="52"/>
      <c r="H46" s="19"/>
      <c r="I46" s="53"/>
      <c r="J46" s="53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50"/>
      <c r="C55" s="50"/>
      <c r="D55" s="50"/>
      <c r="E55" s="50"/>
      <c r="F55" s="50"/>
      <c r="G55" s="50"/>
      <c r="H55" s="16"/>
      <c r="I55" s="51"/>
      <c r="J55" s="51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FF0000"/>
  </sheetPr>
  <dimension ref="A1:N55"/>
  <sheetViews>
    <sheetView zoomScaleNormal="100" workbookViewId="0">
      <pane ySplit="5" topLeftCell="A6" activePane="bottomLeft" state="frozen"/>
      <selection activeCell="L6" sqref="L6"/>
      <selection pane="bottomLeft" activeCell="L6" sqref="L6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18</v>
      </c>
      <c r="B1" s="22"/>
      <c r="C1" s="25" t="s">
        <v>0</v>
      </c>
      <c r="D1" s="26"/>
      <c r="E1" s="27" t="s">
        <v>1</v>
      </c>
      <c r="F1" s="26"/>
      <c r="G1" s="1" t="s">
        <v>2</v>
      </c>
      <c r="H1" s="27" t="s">
        <v>3</v>
      </c>
      <c r="I1" s="26"/>
      <c r="J1" s="28" t="s">
        <v>4</v>
      </c>
      <c r="K1" s="26"/>
      <c r="L1" s="2" t="s">
        <v>5</v>
      </c>
    </row>
    <row r="2" spans="1:14" ht="36" customHeight="1" thickBot="1">
      <c r="A2" s="23"/>
      <c r="B2" s="24"/>
      <c r="C2" s="29"/>
      <c r="D2" s="30"/>
      <c r="E2" s="31"/>
      <c r="F2" s="30"/>
      <c r="G2" s="3"/>
      <c r="H2" s="32"/>
      <c r="I2" s="33"/>
      <c r="J2" s="34"/>
      <c r="K2" s="33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56" t="s">
        <v>53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/>
      <c r="B6" s="35"/>
      <c r="C6" s="35"/>
      <c r="D6" s="35"/>
      <c r="E6" s="35"/>
      <c r="F6" s="35"/>
      <c r="G6" s="35"/>
      <c r="H6" s="10"/>
      <c r="I6" s="36"/>
      <c r="J6" s="36"/>
      <c r="K6" s="10"/>
      <c r="L6" s="11"/>
      <c r="N6">
        <f>IF(A6&lt;&gt;"",1,0)</f>
        <v>0</v>
      </c>
    </row>
    <row r="7" spans="1:14" ht="70.5" customHeight="1">
      <c r="A7" s="12"/>
      <c r="B7" s="37"/>
      <c r="C7" s="37"/>
      <c r="D7" s="37"/>
      <c r="E7" s="37"/>
      <c r="F7" s="37"/>
      <c r="G7" s="37"/>
      <c r="H7" s="13"/>
      <c r="I7" s="38"/>
      <c r="J7" s="38"/>
      <c r="K7" s="13"/>
      <c r="L7" s="14"/>
    </row>
    <row r="8" spans="1:14" ht="70.5" customHeight="1">
      <c r="A8" s="12"/>
      <c r="B8" s="37"/>
      <c r="C8" s="37"/>
      <c r="D8" s="37"/>
      <c r="E8" s="37"/>
      <c r="F8" s="37"/>
      <c r="G8" s="37"/>
      <c r="H8" s="13"/>
      <c r="I8" s="38"/>
      <c r="J8" s="38"/>
      <c r="K8" s="13"/>
      <c r="L8" s="14"/>
    </row>
    <row r="9" spans="1:14" ht="70.5" customHeight="1">
      <c r="A9" s="12"/>
      <c r="B9" s="37"/>
      <c r="C9" s="37"/>
      <c r="D9" s="37"/>
      <c r="E9" s="37"/>
      <c r="F9" s="37"/>
      <c r="G9" s="37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50"/>
      <c r="C15" s="50"/>
      <c r="D15" s="50"/>
      <c r="E15" s="50"/>
      <c r="F15" s="50"/>
      <c r="G15" s="50"/>
      <c r="H15" s="16"/>
      <c r="I15" s="51"/>
      <c r="J15" s="51"/>
      <c r="K15" s="16"/>
      <c r="L15" s="17"/>
    </row>
    <row r="16" spans="1:14" ht="70.5" customHeight="1">
      <c r="A16" s="18"/>
      <c r="B16" s="52"/>
      <c r="C16" s="52"/>
      <c r="D16" s="52"/>
      <c r="E16" s="52"/>
      <c r="F16" s="52"/>
      <c r="G16" s="52"/>
      <c r="H16" s="19"/>
      <c r="I16" s="53"/>
      <c r="J16" s="53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50"/>
      <c r="C25" s="50"/>
      <c r="D25" s="50"/>
      <c r="E25" s="50"/>
      <c r="F25" s="50"/>
      <c r="G25" s="50"/>
      <c r="H25" s="16"/>
      <c r="I25" s="51"/>
      <c r="J25" s="51"/>
      <c r="K25" s="16"/>
      <c r="L25" s="17"/>
    </row>
    <row r="26" spans="1:14" ht="70.5" customHeight="1">
      <c r="A26" s="18"/>
      <c r="B26" s="52"/>
      <c r="C26" s="52"/>
      <c r="D26" s="52"/>
      <c r="E26" s="52"/>
      <c r="F26" s="52"/>
      <c r="G26" s="52"/>
      <c r="H26" s="19"/>
      <c r="I26" s="53"/>
      <c r="J26" s="53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50"/>
      <c r="C35" s="50"/>
      <c r="D35" s="50"/>
      <c r="E35" s="50"/>
      <c r="F35" s="50"/>
      <c r="G35" s="50"/>
      <c r="H35" s="16"/>
      <c r="I35" s="51"/>
      <c r="J35" s="51"/>
      <c r="K35" s="16"/>
      <c r="L35" s="17"/>
    </row>
    <row r="36" spans="1:14" ht="70.5" customHeight="1">
      <c r="A36" s="18"/>
      <c r="B36" s="52"/>
      <c r="C36" s="52"/>
      <c r="D36" s="52"/>
      <c r="E36" s="52"/>
      <c r="F36" s="52"/>
      <c r="G36" s="52"/>
      <c r="H36" s="19"/>
      <c r="I36" s="53"/>
      <c r="J36" s="53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50"/>
      <c r="C45" s="50"/>
      <c r="D45" s="50"/>
      <c r="E45" s="50"/>
      <c r="F45" s="50"/>
      <c r="G45" s="50"/>
      <c r="H45" s="16"/>
      <c r="I45" s="51"/>
      <c r="J45" s="51"/>
      <c r="K45" s="16"/>
      <c r="L45" s="17"/>
    </row>
    <row r="46" spans="1:14" ht="70.5" customHeight="1">
      <c r="A46" s="18"/>
      <c r="B46" s="52"/>
      <c r="C46" s="52"/>
      <c r="D46" s="52"/>
      <c r="E46" s="52"/>
      <c r="F46" s="52"/>
      <c r="G46" s="52"/>
      <c r="H46" s="19"/>
      <c r="I46" s="53"/>
      <c r="J46" s="53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50"/>
      <c r="C55" s="50"/>
      <c r="D55" s="50"/>
      <c r="E55" s="50"/>
      <c r="F55" s="50"/>
      <c r="G55" s="50"/>
      <c r="H55" s="16"/>
      <c r="I55" s="51"/>
      <c r="J55" s="51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FF0000"/>
  </sheetPr>
  <dimension ref="A1:N55"/>
  <sheetViews>
    <sheetView zoomScaleNormal="100" workbookViewId="0">
      <pane ySplit="5" topLeftCell="A6" activePane="bottomLeft" state="frozen"/>
      <selection activeCell="L6" sqref="L6"/>
      <selection pane="bottomLeft" activeCell="L6" sqref="L6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18</v>
      </c>
      <c r="B1" s="22"/>
      <c r="C1" s="25" t="s">
        <v>0</v>
      </c>
      <c r="D1" s="26"/>
      <c r="E1" s="27" t="s">
        <v>1</v>
      </c>
      <c r="F1" s="26"/>
      <c r="G1" s="1" t="s">
        <v>2</v>
      </c>
      <c r="H1" s="27" t="s">
        <v>3</v>
      </c>
      <c r="I1" s="26"/>
      <c r="J1" s="28" t="s">
        <v>4</v>
      </c>
      <c r="K1" s="26"/>
      <c r="L1" s="2" t="s">
        <v>5</v>
      </c>
    </row>
    <row r="2" spans="1:14" ht="36" customHeight="1" thickBot="1">
      <c r="A2" s="23"/>
      <c r="B2" s="24"/>
      <c r="C2" s="29"/>
      <c r="D2" s="30"/>
      <c r="E2" s="31"/>
      <c r="F2" s="30"/>
      <c r="G2" s="3"/>
      <c r="H2" s="32"/>
      <c r="I2" s="33"/>
      <c r="J2" s="34"/>
      <c r="K2" s="33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56" t="s">
        <v>54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/>
      <c r="B6" s="35"/>
      <c r="C6" s="35"/>
      <c r="D6" s="35"/>
      <c r="E6" s="35"/>
      <c r="F6" s="35"/>
      <c r="G6" s="35"/>
      <c r="H6" s="10"/>
      <c r="I6" s="36"/>
      <c r="J6" s="36"/>
      <c r="K6" s="10"/>
      <c r="L6" s="11"/>
      <c r="N6">
        <f>IF(A6&lt;&gt;"",1,0)</f>
        <v>0</v>
      </c>
    </row>
    <row r="7" spans="1:14" ht="70.5" customHeight="1">
      <c r="A7" s="12"/>
      <c r="B7" s="37"/>
      <c r="C7" s="37"/>
      <c r="D7" s="37"/>
      <c r="E7" s="37"/>
      <c r="F7" s="37"/>
      <c r="G7" s="37"/>
      <c r="H7" s="13"/>
      <c r="I7" s="38"/>
      <c r="J7" s="38"/>
      <c r="K7" s="13"/>
      <c r="L7" s="14"/>
    </row>
    <row r="8" spans="1:14" ht="70.5" customHeight="1">
      <c r="A8" s="12"/>
      <c r="B8" s="37"/>
      <c r="C8" s="37"/>
      <c r="D8" s="37"/>
      <c r="E8" s="37"/>
      <c r="F8" s="37"/>
      <c r="G8" s="37"/>
      <c r="H8" s="13"/>
      <c r="I8" s="38"/>
      <c r="J8" s="38"/>
      <c r="K8" s="13"/>
      <c r="L8" s="14"/>
    </row>
    <row r="9" spans="1:14" ht="70.5" customHeight="1">
      <c r="A9" s="12"/>
      <c r="B9" s="37"/>
      <c r="C9" s="37"/>
      <c r="D9" s="37"/>
      <c r="E9" s="37"/>
      <c r="F9" s="37"/>
      <c r="G9" s="37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50"/>
      <c r="C15" s="50"/>
      <c r="D15" s="50"/>
      <c r="E15" s="50"/>
      <c r="F15" s="50"/>
      <c r="G15" s="50"/>
      <c r="H15" s="16"/>
      <c r="I15" s="51"/>
      <c r="J15" s="51"/>
      <c r="K15" s="16"/>
      <c r="L15" s="17"/>
    </row>
    <row r="16" spans="1:14" ht="70.5" customHeight="1">
      <c r="A16" s="18"/>
      <c r="B16" s="52"/>
      <c r="C16" s="52"/>
      <c r="D16" s="52"/>
      <c r="E16" s="52"/>
      <c r="F16" s="52"/>
      <c r="G16" s="52"/>
      <c r="H16" s="19"/>
      <c r="I16" s="53"/>
      <c r="J16" s="53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50"/>
      <c r="C25" s="50"/>
      <c r="D25" s="50"/>
      <c r="E25" s="50"/>
      <c r="F25" s="50"/>
      <c r="G25" s="50"/>
      <c r="H25" s="16"/>
      <c r="I25" s="51"/>
      <c r="J25" s="51"/>
      <c r="K25" s="16"/>
      <c r="L25" s="17"/>
    </row>
    <row r="26" spans="1:14" ht="70.5" customHeight="1">
      <c r="A26" s="18"/>
      <c r="B26" s="52"/>
      <c r="C26" s="52"/>
      <c r="D26" s="52"/>
      <c r="E26" s="52"/>
      <c r="F26" s="52"/>
      <c r="G26" s="52"/>
      <c r="H26" s="19"/>
      <c r="I26" s="53"/>
      <c r="J26" s="53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50"/>
      <c r="C35" s="50"/>
      <c r="D35" s="50"/>
      <c r="E35" s="50"/>
      <c r="F35" s="50"/>
      <c r="G35" s="50"/>
      <c r="H35" s="16"/>
      <c r="I35" s="51"/>
      <c r="J35" s="51"/>
      <c r="K35" s="16"/>
      <c r="L35" s="17"/>
    </row>
    <row r="36" spans="1:14" ht="70.5" customHeight="1">
      <c r="A36" s="18"/>
      <c r="B36" s="52"/>
      <c r="C36" s="52"/>
      <c r="D36" s="52"/>
      <c r="E36" s="52"/>
      <c r="F36" s="52"/>
      <c r="G36" s="52"/>
      <c r="H36" s="19"/>
      <c r="I36" s="53"/>
      <c r="J36" s="53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50"/>
      <c r="C45" s="50"/>
      <c r="D45" s="50"/>
      <c r="E45" s="50"/>
      <c r="F45" s="50"/>
      <c r="G45" s="50"/>
      <c r="H45" s="16"/>
      <c r="I45" s="51"/>
      <c r="J45" s="51"/>
      <c r="K45" s="16"/>
      <c r="L45" s="17"/>
    </row>
    <row r="46" spans="1:14" ht="70.5" customHeight="1">
      <c r="A46" s="18"/>
      <c r="B46" s="52"/>
      <c r="C46" s="52"/>
      <c r="D46" s="52"/>
      <c r="E46" s="52"/>
      <c r="F46" s="52"/>
      <c r="G46" s="52"/>
      <c r="H46" s="19"/>
      <c r="I46" s="53"/>
      <c r="J46" s="53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50"/>
      <c r="C55" s="50"/>
      <c r="D55" s="50"/>
      <c r="E55" s="50"/>
      <c r="F55" s="50"/>
      <c r="G55" s="50"/>
      <c r="H55" s="16"/>
      <c r="I55" s="51"/>
      <c r="J55" s="51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FF0000"/>
  </sheetPr>
  <dimension ref="A1:N55"/>
  <sheetViews>
    <sheetView zoomScaleNormal="100" workbookViewId="0">
      <pane ySplit="5" topLeftCell="A6" activePane="bottomLeft" state="frozen"/>
      <selection activeCell="L6" sqref="L6"/>
      <selection pane="bottomLeft" activeCell="L6" sqref="L6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18</v>
      </c>
      <c r="B1" s="22"/>
      <c r="C1" s="25" t="s">
        <v>0</v>
      </c>
      <c r="D1" s="26"/>
      <c r="E1" s="27" t="s">
        <v>1</v>
      </c>
      <c r="F1" s="26"/>
      <c r="G1" s="1" t="s">
        <v>2</v>
      </c>
      <c r="H1" s="27" t="s">
        <v>3</v>
      </c>
      <c r="I1" s="26"/>
      <c r="J1" s="28" t="s">
        <v>4</v>
      </c>
      <c r="K1" s="26"/>
      <c r="L1" s="2" t="s">
        <v>5</v>
      </c>
    </row>
    <row r="2" spans="1:14" ht="36" customHeight="1" thickBot="1">
      <c r="A2" s="23"/>
      <c r="B2" s="24"/>
      <c r="C2" s="29"/>
      <c r="D2" s="30"/>
      <c r="E2" s="31"/>
      <c r="F2" s="30"/>
      <c r="G2" s="3"/>
      <c r="H2" s="32"/>
      <c r="I2" s="33"/>
      <c r="J2" s="34"/>
      <c r="K2" s="33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56" t="s">
        <v>55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/>
      <c r="B6" s="35"/>
      <c r="C6" s="35"/>
      <c r="D6" s="35"/>
      <c r="E6" s="35"/>
      <c r="F6" s="35"/>
      <c r="G6" s="35"/>
      <c r="H6" s="10"/>
      <c r="I6" s="36"/>
      <c r="J6" s="36"/>
      <c r="K6" s="10"/>
      <c r="L6" s="11"/>
      <c r="N6">
        <f>IF(A6&lt;&gt;"",1,0)</f>
        <v>0</v>
      </c>
    </row>
    <row r="7" spans="1:14" ht="70.5" customHeight="1">
      <c r="A7" s="12"/>
      <c r="B7" s="37"/>
      <c r="C7" s="37"/>
      <c r="D7" s="37"/>
      <c r="E7" s="37"/>
      <c r="F7" s="37"/>
      <c r="G7" s="37"/>
      <c r="H7" s="13"/>
      <c r="I7" s="38"/>
      <c r="J7" s="38"/>
      <c r="K7" s="13"/>
      <c r="L7" s="14"/>
    </row>
    <row r="8" spans="1:14" ht="70.5" customHeight="1">
      <c r="A8" s="12"/>
      <c r="B8" s="37"/>
      <c r="C8" s="37"/>
      <c r="D8" s="37"/>
      <c r="E8" s="37"/>
      <c r="F8" s="37"/>
      <c r="G8" s="37"/>
      <c r="H8" s="13"/>
      <c r="I8" s="38"/>
      <c r="J8" s="38"/>
      <c r="K8" s="13"/>
      <c r="L8" s="14"/>
    </row>
    <row r="9" spans="1:14" ht="70.5" customHeight="1">
      <c r="A9" s="12"/>
      <c r="B9" s="37"/>
      <c r="C9" s="37"/>
      <c r="D9" s="37"/>
      <c r="E9" s="37"/>
      <c r="F9" s="37"/>
      <c r="G9" s="37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50"/>
      <c r="C15" s="50"/>
      <c r="D15" s="50"/>
      <c r="E15" s="50"/>
      <c r="F15" s="50"/>
      <c r="G15" s="50"/>
      <c r="H15" s="16"/>
      <c r="I15" s="51"/>
      <c r="J15" s="51"/>
      <c r="K15" s="16"/>
      <c r="L15" s="17"/>
    </row>
    <row r="16" spans="1:14" ht="70.5" customHeight="1">
      <c r="A16" s="18"/>
      <c r="B16" s="52"/>
      <c r="C16" s="52"/>
      <c r="D16" s="52"/>
      <c r="E16" s="52"/>
      <c r="F16" s="52"/>
      <c r="G16" s="52"/>
      <c r="H16" s="19"/>
      <c r="I16" s="53"/>
      <c r="J16" s="53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50"/>
      <c r="C25" s="50"/>
      <c r="D25" s="50"/>
      <c r="E25" s="50"/>
      <c r="F25" s="50"/>
      <c r="G25" s="50"/>
      <c r="H25" s="16"/>
      <c r="I25" s="51"/>
      <c r="J25" s="51"/>
      <c r="K25" s="16"/>
      <c r="L25" s="17"/>
    </row>
    <row r="26" spans="1:14" ht="70.5" customHeight="1">
      <c r="A26" s="18"/>
      <c r="B26" s="52"/>
      <c r="C26" s="52"/>
      <c r="D26" s="52"/>
      <c r="E26" s="52"/>
      <c r="F26" s="52"/>
      <c r="G26" s="52"/>
      <c r="H26" s="19"/>
      <c r="I26" s="53"/>
      <c r="J26" s="53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50"/>
      <c r="C35" s="50"/>
      <c r="D35" s="50"/>
      <c r="E35" s="50"/>
      <c r="F35" s="50"/>
      <c r="G35" s="50"/>
      <c r="H35" s="16"/>
      <c r="I35" s="51"/>
      <c r="J35" s="51"/>
      <c r="K35" s="16"/>
      <c r="L35" s="17"/>
    </row>
    <row r="36" spans="1:14" ht="70.5" customHeight="1">
      <c r="A36" s="18"/>
      <c r="B36" s="52"/>
      <c r="C36" s="52"/>
      <c r="D36" s="52"/>
      <c r="E36" s="52"/>
      <c r="F36" s="52"/>
      <c r="G36" s="52"/>
      <c r="H36" s="19"/>
      <c r="I36" s="53"/>
      <c r="J36" s="53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50"/>
      <c r="C45" s="50"/>
      <c r="D45" s="50"/>
      <c r="E45" s="50"/>
      <c r="F45" s="50"/>
      <c r="G45" s="50"/>
      <c r="H45" s="16"/>
      <c r="I45" s="51"/>
      <c r="J45" s="51"/>
      <c r="K45" s="16"/>
      <c r="L45" s="17"/>
    </row>
    <row r="46" spans="1:14" ht="70.5" customHeight="1">
      <c r="A46" s="18"/>
      <c r="B46" s="52"/>
      <c r="C46" s="52"/>
      <c r="D46" s="52"/>
      <c r="E46" s="52"/>
      <c r="F46" s="52"/>
      <c r="G46" s="52"/>
      <c r="H46" s="19"/>
      <c r="I46" s="53"/>
      <c r="J46" s="53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50"/>
      <c r="C55" s="50"/>
      <c r="D55" s="50"/>
      <c r="E55" s="50"/>
      <c r="F55" s="50"/>
      <c r="G55" s="50"/>
      <c r="H55" s="16"/>
      <c r="I55" s="51"/>
      <c r="J55" s="51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rgb="FFFF0000"/>
  </sheetPr>
  <dimension ref="A1:N55"/>
  <sheetViews>
    <sheetView zoomScaleNormal="100" workbookViewId="0">
      <pane ySplit="5" topLeftCell="A6" activePane="bottomLeft" state="frozen"/>
      <selection activeCell="L6" sqref="L6"/>
      <selection pane="bottomLeft" activeCell="L6" sqref="L6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18</v>
      </c>
      <c r="B1" s="22"/>
      <c r="C1" s="25" t="s">
        <v>0</v>
      </c>
      <c r="D1" s="26"/>
      <c r="E1" s="27" t="s">
        <v>1</v>
      </c>
      <c r="F1" s="26"/>
      <c r="G1" s="1" t="s">
        <v>2</v>
      </c>
      <c r="H1" s="27" t="s">
        <v>3</v>
      </c>
      <c r="I1" s="26"/>
      <c r="J1" s="28" t="s">
        <v>4</v>
      </c>
      <c r="K1" s="26"/>
      <c r="L1" s="2" t="s">
        <v>5</v>
      </c>
    </row>
    <row r="2" spans="1:14" ht="36" customHeight="1" thickBot="1">
      <c r="A2" s="23"/>
      <c r="B2" s="24"/>
      <c r="C2" s="29"/>
      <c r="D2" s="30"/>
      <c r="E2" s="31"/>
      <c r="F2" s="30"/>
      <c r="G2" s="3"/>
      <c r="H2" s="32"/>
      <c r="I2" s="33"/>
      <c r="J2" s="34"/>
      <c r="K2" s="33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56" t="s">
        <v>56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/>
      <c r="B6" s="35"/>
      <c r="C6" s="35"/>
      <c r="D6" s="35"/>
      <c r="E6" s="35"/>
      <c r="F6" s="35"/>
      <c r="G6" s="35"/>
      <c r="H6" s="10"/>
      <c r="I6" s="36"/>
      <c r="J6" s="36"/>
      <c r="K6" s="10"/>
      <c r="L6" s="11"/>
      <c r="N6">
        <f>IF(A6&lt;&gt;"",1,0)</f>
        <v>0</v>
      </c>
    </row>
    <row r="7" spans="1:14" ht="70.5" customHeight="1">
      <c r="A7" s="12"/>
      <c r="B7" s="37"/>
      <c r="C7" s="37"/>
      <c r="D7" s="37"/>
      <c r="E7" s="37"/>
      <c r="F7" s="37"/>
      <c r="G7" s="37"/>
      <c r="H7" s="13"/>
      <c r="I7" s="38"/>
      <c r="J7" s="38"/>
      <c r="K7" s="13"/>
      <c r="L7" s="14"/>
    </row>
    <row r="8" spans="1:14" ht="70.5" customHeight="1">
      <c r="A8" s="12"/>
      <c r="B8" s="37"/>
      <c r="C8" s="37"/>
      <c r="D8" s="37"/>
      <c r="E8" s="37"/>
      <c r="F8" s="37"/>
      <c r="G8" s="37"/>
      <c r="H8" s="13"/>
      <c r="I8" s="38"/>
      <c r="J8" s="38"/>
      <c r="K8" s="13"/>
      <c r="L8" s="14"/>
    </row>
    <row r="9" spans="1:14" ht="70.5" customHeight="1">
      <c r="A9" s="12"/>
      <c r="B9" s="37"/>
      <c r="C9" s="37"/>
      <c r="D9" s="37"/>
      <c r="E9" s="37"/>
      <c r="F9" s="37"/>
      <c r="G9" s="37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50"/>
      <c r="C15" s="50"/>
      <c r="D15" s="50"/>
      <c r="E15" s="50"/>
      <c r="F15" s="50"/>
      <c r="G15" s="50"/>
      <c r="H15" s="16"/>
      <c r="I15" s="51"/>
      <c r="J15" s="51"/>
      <c r="K15" s="16"/>
      <c r="L15" s="17"/>
    </row>
    <row r="16" spans="1:14" ht="70.5" customHeight="1">
      <c r="A16" s="18"/>
      <c r="B16" s="52"/>
      <c r="C16" s="52"/>
      <c r="D16" s="52"/>
      <c r="E16" s="52"/>
      <c r="F16" s="52"/>
      <c r="G16" s="52"/>
      <c r="H16" s="19"/>
      <c r="I16" s="53"/>
      <c r="J16" s="53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50"/>
      <c r="C25" s="50"/>
      <c r="D25" s="50"/>
      <c r="E25" s="50"/>
      <c r="F25" s="50"/>
      <c r="G25" s="50"/>
      <c r="H25" s="16"/>
      <c r="I25" s="51"/>
      <c r="J25" s="51"/>
      <c r="K25" s="16"/>
      <c r="L25" s="17"/>
    </row>
    <row r="26" spans="1:14" ht="70.5" customHeight="1">
      <c r="A26" s="18"/>
      <c r="B26" s="52"/>
      <c r="C26" s="52"/>
      <c r="D26" s="52"/>
      <c r="E26" s="52"/>
      <c r="F26" s="52"/>
      <c r="G26" s="52"/>
      <c r="H26" s="19"/>
      <c r="I26" s="53"/>
      <c r="J26" s="53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50"/>
      <c r="C35" s="50"/>
      <c r="D35" s="50"/>
      <c r="E35" s="50"/>
      <c r="F35" s="50"/>
      <c r="G35" s="50"/>
      <c r="H35" s="16"/>
      <c r="I35" s="51"/>
      <c r="J35" s="51"/>
      <c r="K35" s="16"/>
      <c r="L35" s="17"/>
    </row>
    <row r="36" spans="1:14" ht="70.5" customHeight="1">
      <c r="A36" s="18"/>
      <c r="B36" s="52"/>
      <c r="C36" s="52"/>
      <c r="D36" s="52"/>
      <c r="E36" s="52"/>
      <c r="F36" s="52"/>
      <c r="G36" s="52"/>
      <c r="H36" s="19"/>
      <c r="I36" s="53"/>
      <c r="J36" s="53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50"/>
      <c r="C45" s="50"/>
      <c r="D45" s="50"/>
      <c r="E45" s="50"/>
      <c r="F45" s="50"/>
      <c r="G45" s="50"/>
      <c r="H45" s="16"/>
      <c r="I45" s="51"/>
      <c r="J45" s="51"/>
      <c r="K45" s="16"/>
      <c r="L45" s="17"/>
    </row>
    <row r="46" spans="1:14" ht="70.5" customHeight="1">
      <c r="A46" s="18"/>
      <c r="B46" s="52"/>
      <c r="C46" s="52"/>
      <c r="D46" s="52"/>
      <c r="E46" s="52"/>
      <c r="F46" s="52"/>
      <c r="G46" s="52"/>
      <c r="H46" s="19"/>
      <c r="I46" s="53"/>
      <c r="J46" s="53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50"/>
      <c r="C55" s="50"/>
      <c r="D55" s="50"/>
      <c r="E55" s="50"/>
      <c r="F55" s="50"/>
      <c r="G55" s="50"/>
      <c r="H55" s="16"/>
      <c r="I55" s="51"/>
      <c r="J55" s="51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N55"/>
  <sheetViews>
    <sheetView zoomScaleNormal="100" workbookViewId="0">
      <pane ySplit="5" topLeftCell="A6" activePane="bottomLeft" state="frozen"/>
      <selection activeCell="A6" sqref="A6"/>
      <selection pane="bottomLeft" activeCell="H9" sqref="H9:L9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18</v>
      </c>
      <c r="B1" s="22"/>
      <c r="C1" s="25" t="s">
        <v>0</v>
      </c>
      <c r="D1" s="26"/>
      <c r="E1" s="27" t="s">
        <v>1</v>
      </c>
      <c r="F1" s="26"/>
      <c r="G1" s="1" t="s">
        <v>2</v>
      </c>
      <c r="H1" s="27" t="s">
        <v>3</v>
      </c>
      <c r="I1" s="26"/>
      <c r="J1" s="28" t="s">
        <v>4</v>
      </c>
      <c r="K1" s="26"/>
      <c r="L1" s="2" t="s">
        <v>5</v>
      </c>
    </row>
    <row r="2" spans="1:14" ht="36" customHeight="1" thickBot="1">
      <c r="A2" s="23"/>
      <c r="B2" s="24"/>
      <c r="C2" s="29" t="s">
        <v>6</v>
      </c>
      <c r="D2" s="30"/>
      <c r="E2" s="31" t="s">
        <v>7</v>
      </c>
      <c r="F2" s="30"/>
      <c r="G2" s="3">
        <v>41255</v>
      </c>
      <c r="H2" s="32" t="s">
        <v>8</v>
      </c>
      <c r="I2" s="33"/>
      <c r="J2" s="34" t="s">
        <v>9</v>
      </c>
      <c r="K2" s="33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56" t="s">
        <v>57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58</v>
      </c>
      <c r="B6" s="35" t="s">
        <v>59</v>
      </c>
      <c r="C6" s="35"/>
      <c r="D6" s="35" t="s">
        <v>60</v>
      </c>
      <c r="E6" s="35"/>
      <c r="F6" s="35" t="s">
        <v>61</v>
      </c>
      <c r="G6" s="35"/>
      <c r="H6" s="10" t="s">
        <v>21</v>
      </c>
      <c r="I6" s="36">
        <v>41274</v>
      </c>
      <c r="J6" s="36"/>
      <c r="K6" s="10"/>
      <c r="L6" s="11" t="s">
        <v>22</v>
      </c>
      <c r="N6">
        <f>IF(A6&lt;&gt;"",1,0)</f>
        <v>1</v>
      </c>
    </row>
    <row r="7" spans="1:14" ht="70.5" customHeight="1">
      <c r="A7" s="12" t="s">
        <v>62</v>
      </c>
      <c r="B7" s="37" t="s">
        <v>63</v>
      </c>
      <c r="C7" s="37"/>
      <c r="D7" s="37" t="s">
        <v>64</v>
      </c>
      <c r="E7" s="37"/>
      <c r="F7" s="37" t="s">
        <v>65</v>
      </c>
      <c r="G7" s="37"/>
      <c r="H7" s="13" t="s">
        <v>21</v>
      </c>
      <c r="I7" s="38">
        <v>41274</v>
      </c>
      <c r="J7" s="38"/>
      <c r="K7" s="13"/>
      <c r="L7" s="14" t="s">
        <v>22</v>
      </c>
    </row>
    <row r="8" spans="1:14" ht="70.5" customHeight="1">
      <c r="A8" s="12" t="s">
        <v>24</v>
      </c>
      <c r="B8" s="37" t="s">
        <v>66</v>
      </c>
      <c r="C8" s="37"/>
      <c r="D8" s="37" t="s">
        <v>67</v>
      </c>
      <c r="E8" s="37"/>
      <c r="F8" s="37" t="s">
        <v>68</v>
      </c>
      <c r="G8" s="37"/>
      <c r="H8" s="13" t="s">
        <v>21</v>
      </c>
      <c r="I8" s="38">
        <v>41274</v>
      </c>
      <c r="J8" s="38"/>
      <c r="K8" s="13"/>
      <c r="L8" s="14" t="s">
        <v>22</v>
      </c>
    </row>
    <row r="9" spans="1:14" ht="70.5" customHeight="1">
      <c r="A9" s="12" t="s">
        <v>25</v>
      </c>
      <c r="B9" s="37" t="s">
        <v>69</v>
      </c>
      <c r="C9" s="37"/>
      <c r="D9" s="37" t="s">
        <v>70</v>
      </c>
      <c r="E9" s="37"/>
      <c r="F9" s="37" t="s">
        <v>65</v>
      </c>
      <c r="G9" s="37"/>
      <c r="H9" s="13" t="s">
        <v>21</v>
      </c>
      <c r="I9" s="38">
        <v>41274</v>
      </c>
      <c r="J9" s="38"/>
      <c r="K9" s="13"/>
      <c r="L9" s="14" t="s">
        <v>22</v>
      </c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50"/>
      <c r="C15" s="50"/>
      <c r="D15" s="50"/>
      <c r="E15" s="50"/>
      <c r="F15" s="50"/>
      <c r="G15" s="50"/>
      <c r="H15" s="16"/>
      <c r="I15" s="51"/>
      <c r="J15" s="51"/>
      <c r="K15" s="16"/>
      <c r="L15" s="17"/>
    </row>
    <row r="16" spans="1:14" ht="70.5" customHeight="1">
      <c r="A16" s="18"/>
      <c r="B16" s="52"/>
      <c r="C16" s="52"/>
      <c r="D16" s="52"/>
      <c r="E16" s="52"/>
      <c r="F16" s="52"/>
      <c r="G16" s="52"/>
      <c r="H16" s="19"/>
      <c r="I16" s="53"/>
      <c r="J16" s="53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50"/>
      <c r="C25" s="50"/>
      <c r="D25" s="50"/>
      <c r="E25" s="50"/>
      <c r="F25" s="50"/>
      <c r="G25" s="50"/>
      <c r="H25" s="16"/>
      <c r="I25" s="51"/>
      <c r="J25" s="51"/>
      <c r="K25" s="16"/>
      <c r="L25" s="17"/>
    </row>
    <row r="26" spans="1:14" ht="70.5" customHeight="1">
      <c r="A26" s="18"/>
      <c r="B26" s="52"/>
      <c r="C26" s="52"/>
      <c r="D26" s="52"/>
      <c r="E26" s="52"/>
      <c r="F26" s="52"/>
      <c r="G26" s="52"/>
      <c r="H26" s="19"/>
      <c r="I26" s="53"/>
      <c r="J26" s="53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50"/>
      <c r="C35" s="50"/>
      <c r="D35" s="50"/>
      <c r="E35" s="50"/>
      <c r="F35" s="50"/>
      <c r="G35" s="50"/>
      <c r="H35" s="16"/>
      <c r="I35" s="51"/>
      <c r="J35" s="51"/>
      <c r="K35" s="16"/>
      <c r="L35" s="17"/>
    </row>
    <row r="36" spans="1:14" ht="70.5" customHeight="1">
      <c r="A36" s="18"/>
      <c r="B36" s="52"/>
      <c r="C36" s="52"/>
      <c r="D36" s="52"/>
      <c r="E36" s="52"/>
      <c r="F36" s="52"/>
      <c r="G36" s="52"/>
      <c r="H36" s="19"/>
      <c r="I36" s="53"/>
      <c r="J36" s="53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50"/>
      <c r="C45" s="50"/>
      <c r="D45" s="50"/>
      <c r="E45" s="50"/>
      <c r="F45" s="50"/>
      <c r="G45" s="50"/>
      <c r="H45" s="16"/>
      <c r="I45" s="51"/>
      <c r="J45" s="51"/>
      <c r="K45" s="16"/>
      <c r="L45" s="17"/>
    </row>
    <row r="46" spans="1:14" ht="70.5" customHeight="1">
      <c r="A46" s="18"/>
      <c r="B46" s="52"/>
      <c r="C46" s="52"/>
      <c r="D46" s="52"/>
      <c r="E46" s="52"/>
      <c r="F46" s="52"/>
      <c r="G46" s="52"/>
      <c r="H46" s="19"/>
      <c r="I46" s="53"/>
      <c r="J46" s="53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50"/>
      <c r="C55" s="50"/>
      <c r="D55" s="50"/>
      <c r="E55" s="50"/>
      <c r="F55" s="50"/>
      <c r="G55" s="50"/>
      <c r="H55" s="16"/>
      <c r="I55" s="51"/>
      <c r="J55" s="51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20</vt:i4>
      </vt:variant>
    </vt:vector>
  </HeadingPairs>
  <TitlesOfParts>
    <vt:vector size="30" baseType="lpstr">
      <vt:lpstr>MemberManager</vt:lpstr>
      <vt:lpstr>loadMembers</vt:lpstr>
      <vt:lpstr>isMemberValid</vt:lpstr>
      <vt:lpstr>saveMembers</vt:lpstr>
      <vt:lpstr>addMember</vt:lpstr>
      <vt:lpstr>generateMemberId</vt:lpstr>
      <vt:lpstr>searchMemberById</vt:lpstr>
      <vt:lpstr>deleteMemberById</vt:lpstr>
      <vt:lpstr>getMembers</vt:lpstr>
      <vt:lpstr>getMembersCount</vt:lpstr>
      <vt:lpstr>addMember!Print_Area</vt:lpstr>
      <vt:lpstr>deleteMemberById!Print_Area</vt:lpstr>
      <vt:lpstr>generateMemberId!Print_Area</vt:lpstr>
      <vt:lpstr>getMembers!Print_Area</vt:lpstr>
      <vt:lpstr>getMembersCount!Print_Area</vt:lpstr>
      <vt:lpstr>isMemberValid!Print_Area</vt:lpstr>
      <vt:lpstr>loadMembers!Print_Area</vt:lpstr>
      <vt:lpstr>MemberManager!Print_Area</vt:lpstr>
      <vt:lpstr>saveMembers!Print_Area</vt:lpstr>
      <vt:lpstr>searchMemberById!Print_Area</vt:lpstr>
      <vt:lpstr>addMember!Print_Titles</vt:lpstr>
      <vt:lpstr>deleteMemberById!Print_Titles</vt:lpstr>
      <vt:lpstr>generateMemberId!Print_Titles</vt:lpstr>
      <vt:lpstr>getMembers!Print_Titles</vt:lpstr>
      <vt:lpstr>getMembersCount!Print_Titles</vt:lpstr>
      <vt:lpstr>isMemberValid!Print_Titles</vt:lpstr>
      <vt:lpstr>loadMembers!Print_Titles</vt:lpstr>
      <vt:lpstr>MemberManager!Print_Titles</vt:lpstr>
      <vt:lpstr>saveMembers!Print_Titles</vt:lpstr>
      <vt:lpstr>searchMemberById!Print_Titles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yoshin-k</dc:creator>
  <cp:lastModifiedBy>三川健太</cp:lastModifiedBy>
  <cp:lastPrinted>2012-02-29T03:37:25Z</cp:lastPrinted>
  <dcterms:created xsi:type="dcterms:W3CDTF">2012-01-31T19:14:48Z</dcterms:created>
  <dcterms:modified xsi:type="dcterms:W3CDTF">2024-11-28T08:57:39Z</dcterms:modified>
</cp:coreProperties>
</file>
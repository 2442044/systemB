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0730システム開発演習A引き継ぎ資料/forStudent/演習資料/ワークシート/開発用(作成済み)/"/>
    </mc:Choice>
  </mc:AlternateContent>
  <xr:revisionPtr revIDLastSave="0" documentId="13_ncr:1_{DD01A255-DC28-424B-B06C-E45CDECEE4A6}" xr6:coauthVersionLast="47" xr6:coauthVersionMax="47" xr10:uidLastSave="{00000000-0000-0000-0000-000000000000}"/>
  <bookViews>
    <workbookView xWindow="19200" yWindow="500" windowWidth="19200" windowHeight="21100" firstSheet="14" activeTab="18" xr2:uid="{00000000-000D-0000-FFFF-FFFF00000000}"/>
  </bookViews>
  <sheets>
    <sheet name="loadGoodsFromCSV" sheetId="2" r:id="rId1"/>
    <sheet name="generateProductId" sheetId="3" r:id="rId2"/>
    <sheet name="saveToCSV" sheetId="4" r:id="rId3"/>
    <sheet name="goodsManageMenu" sheetId="5" r:id="rId4"/>
    <sheet name="registerProduct" sheetId="6" r:id="rId5"/>
    <sheet name="getGoodsList" sheetId="7" r:id="rId6"/>
    <sheet name="findProductById" sheetId="9" r:id="rId7"/>
    <sheet name="lendProduct" sheetId="10" r:id="rId8"/>
    <sheet name="returnProduct" sheetId="11" r:id="rId9"/>
    <sheet name="getTodayDate" sheetId="12" r:id="rId10"/>
    <sheet name="modifyOrDeleteProduct" sheetId="8" r:id="rId11"/>
    <sheet name="displayProductDetails" sheetId="13" r:id="rId12"/>
    <sheet name="modifyProduct" sheetId="14" r:id="rId13"/>
    <sheet name="displayProductList" sheetId="15" r:id="rId14"/>
    <sheet name="displayProductPages" sheetId="16" r:id="rId15"/>
    <sheet name="confirmDeletion" sheetId="18" r:id="rId16"/>
    <sheet name="formatDate" sheetId="17" r:id="rId17"/>
    <sheet name="compareProducts" sheetId="19" r:id="rId18"/>
    <sheet name="overwriteGoodsToCSV" sheetId="20" r:id="rId19"/>
  </sheets>
  <definedNames>
    <definedName name="_xlnm.Print_Area" localSheetId="17">compareProducts!$A$1:$L$15</definedName>
    <definedName name="_xlnm.Print_Area" localSheetId="15">confirmDeletion!$A$1:$L$15</definedName>
    <definedName name="_xlnm.Print_Area" localSheetId="11">displayProductDetails!$A$1:$L$15</definedName>
    <definedName name="_xlnm.Print_Area" localSheetId="13">displayProductList!$A$1:$L$12</definedName>
    <definedName name="_xlnm.Print_Area" localSheetId="14">displayProductPages!$A$1:$L$15</definedName>
    <definedName name="_xlnm.Print_Area" localSheetId="6">findProductById!$A$1:$L$15</definedName>
    <definedName name="_xlnm.Print_Area" localSheetId="16">formatDate!$A$1:$L$15</definedName>
    <definedName name="_xlnm.Print_Area" localSheetId="1">generateProductId!$A$1:$L$15</definedName>
    <definedName name="_xlnm.Print_Area" localSheetId="5">getGoodsList!$A$1:$L$15</definedName>
    <definedName name="_xlnm.Print_Area" localSheetId="9">getTodayDate!$A$1:$L$15</definedName>
    <definedName name="_xlnm.Print_Area" localSheetId="3">goodsManageMenu!$A$1:$L$15</definedName>
    <definedName name="_xlnm.Print_Area" localSheetId="7">lendProduct!$A$1:$L$15</definedName>
    <definedName name="_xlnm.Print_Area" localSheetId="0">loadGoodsFromCSV!$A$1:$L$15</definedName>
    <definedName name="_xlnm.Print_Area" localSheetId="10">modifyOrDeleteProduct!$A$1:$L$15</definedName>
    <definedName name="_xlnm.Print_Area" localSheetId="12">modifyProduct!$A$1:$L$25</definedName>
    <definedName name="_xlnm.Print_Area" localSheetId="18">overwriteGoodsToCSV!$A$1:$L$15</definedName>
    <definedName name="_xlnm.Print_Area" localSheetId="4">registerProduct!$A$1:$L$15</definedName>
    <definedName name="_xlnm.Print_Area" localSheetId="8">returnProduct!$A$1:$L$15</definedName>
    <definedName name="_xlnm.Print_Area" localSheetId="2">saveToCSV!$A$1:$L$15</definedName>
    <definedName name="_xlnm.Print_Titles" localSheetId="17">compareProducts!$1:$5</definedName>
    <definedName name="_xlnm.Print_Titles" localSheetId="15">confirmDeletion!$1:$5</definedName>
    <definedName name="_xlnm.Print_Titles" localSheetId="11">displayProductDetails!$1:$5</definedName>
    <definedName name="_xlnm.Print_Titles" localSheetId="13">displayProductList!$1:$5</definedName>
    <definedName name="_xlnm.Print_Titles" localSheetId="14">displayProductPages!$1:$5</definedName>
    <definedName name="_xlnm.Print_Titles" localSheetId="6">findProductById!$1:$5</definedName>
    <definedName name="_xlnm.Print_Titles" localSheetId="16">formatDate!$1:$5</definedName>
    <definedName name="_xlnm.Print_Titles" localSheetId="1">generateProductId!$1:$5</definedName>
    <definedName name="_xlnm.Print_Titles" localSheetId="5">getGoodsList!$1:$5</definedName>
    <definedName name="_xlnm.Print_Titles" localSheetId="9">getTodayDate!$1:$5</definedName>
    <definedName name="_xlnm.Print_Titles" localSheetId="3">goodsManageMenu!$1:$5</definedName>
    <definedName name="_xlnm.Print_Titles" localSheetId="7">lendProduct!$1:$5</definedName>
    <definedName name="_xlnm.Print_Titles" localSheetId="0">loadGoodsFromCSV!$1:$5</definedName>
    <definedName name="_xlnm.Print_Titles" localSheetId="10">modifyOrDeleteProduct!$1:$5</definedName>
    <definedName name="_xlnm.Print_Titles" localSheetId="12">modifyProduct!$1:$5</definedName>
    <definedName name="_xlnm.Print_Titles" localSheetId="18">overwriteGoodsToCSV!$1:$5</definedName>
    <definedName name="_xlnm.Print_Titles" localSheetId="4">registerProduct!$1:$5</definedName>
    <definedName name="_xlnm.Print_Titles" localSheetId="8">returnProduct!$1:$5</definedName>
    <definedName name="_xlnm.Print_Titles" localSheetId="2">saveToCSV!$1:$5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0" l="1"/>
  <c r="N36" i="20"/>
  <c r="N26" i="20"/>
  <c r="N16" i="20"/>
  <c r="N2" i="20" s="1"/>
  <c r="N6" i="20"/>
  <c r="N46" i="19"/>
  <c r="N36" i="19"/>
  <c r="N26" i="19"/>
  <c r="N16" i="19"/>
  <c r="N6" i="19"/>
  <c r="N2" i="19"/>
  <c r="N46" i="18"/>
  <c r="N36" i="18"/>
  <c r="N26" i="18"/>
  <c r="N16" i="18"/>
  <c r="N2" i="18" s="1"/>
  <c r="N6" i="18"/>
  <c r="N46" i="17"/>
  <c r="N36" i="17"/>
  <c r="N26" i="17"/>
  <c r="N16" i="17"/>
  <c r="N6" i="17"/>
  <c r="N2" i="17" s="1"/>
  <c r="N2" i="15"/>
  <c r="N46" i="16"/>
  <c r="N36" i="16"/>
  <c r="N26" i="16"/>
  <c r="N16" i="16"/>
  <c r="N6" i="16"/>
  <c r="N43" i="15"/>
  <c r="N33" i="15"/>
  <c r="N23" i="15"/>
  <c r="N13" i="15"/>
  <c r="N46" i="14"/>
  <c r="N36" i="14"/>
  <c r="N26" i="14"/>
  <c r="N16" i="14"/>
  <c r="N6" i="14"/>
  <c r="N46" i="13"/>
  <c r="N36" i="13"/>
  <c r="N26" i="13"/>
  <c r="N16" i="13"/>
  <c r="N6" i="13"/>
  <c r="N2" i="13" s="1"/>
  <c r="N46" i="12"/>
  <c r="N36" i="12"/>
  <c r="N26" i="12"/>
  <c r="N16" i="12"/>
  <c r="N6" i="12"/>
  <c r="N46" i="11"/>
  <c r="N36" i="11"/>
  <c r="N26" i="11"/>
  <c r="N16" i="11"/>
  <c r="N6" i="11"/>
  <c r="N2" i="11" s="1"/>
  <c r="N46" i="10"/>
  <c r="N36" i="10"/>
  <c r="N26" i="10"/>
  <c r="N16" i="10"/>
  <c r="N6" i="10"/>
  <c r="N46" i="9"/>
  <c r="N36" i="9"/>
  <c r="N26" i="9"/>
  <c r="N16" i="9"/>
  <c r="N6" i="9"/>
  <c r="N46" i="8"/>
  <c r="N36" i="8"/>
  <c r="N26" i="8"/>
  <c r="N16" i="8"/>
  <c r="N6" i="8"/>
  <c r="N2" i="8" s="1"/>
  <c r="N46" i="7"/>
  <c r="N36" i="7"/>
  <c r="N26" i="7"/>
  <c r="N16" i="7"/>
  <c r="N6" i="7"/>
  <c r="N46" i="6"/>
  <c r="N36" i="6"/>
  <c r="N26" i="6"/>
  <c r="N16" i="6"/>
  <c r="N2" i="6" s="1"/>
  <c r="N6" i="6"/>
  <c r="N46" i="5"/>
  <c r="N36" i="5"/>
  <c r="N26" i="5"/>
  <c r="N16" i="5"/>
  <c r="N6" i="5"/>
  <c r="N2" i="5" s="1"/>
  <c r="N46" i="4"/>
  <c r="N36" i="4"/>
  <c r="N26" i="4"/>
  <c r="N16" i="4"/>
  <c r="N6" i="4"/>
  <c r="N46" i="3"/>
  <c r="N36" i="3"/>
  <c r="N26" i="3"/>
  <c r="N16" i="3"/>
  <c r="N6" i="3"/>
  <c r="N46" i="2"/>
  <c r="N36" i="2"/>
  <c r="N26" i="2"/>
  <c r="N16" i="2"/>
  <c r="N6" i="2"/>
  <c r="N2" i="9" l="1"/>
  <c r="N2" i="3"/>
  <c r="N2" i="14"/>
  <c r="N2" i="2"/>
  <c r="N2" i="4"/>
  <c r="N2" i="7"/>
  <c r="N2" i="12"/>
  <c r="N2" i="16"/>
  <c r="N2" i="10"/>
</calcChain>
</file>

<file path=xl/sharedStrings.xml><?xml version="1.0" encoding="utf-8"?>
<sst xmlns="http://schemas.openxmlformats.org/spreadsheetml/2006/main" count="876" uniqueCount="355">
  <si>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</si>
  <si>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</si>
  <si>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</si>
  <si>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</si>
  <si>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</si>
  <si>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</si>
  <si>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</si>
  <si>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</si>
  <si>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</si>
  <si>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</si>
  <si>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</si>
  <si>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</si>
  <si>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</si>
  <si>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</si>
  <si>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</si>
  <si>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</si>
  <si>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</si>
  <si>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</si>
  <si>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</si>
  <si>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</si>
  <si>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合</t>
  </si>
  <si>
    <t>小舘</t>
  </si>
  <si>
    <t>BT-6009</t>
  </si>
  <si>
    <t>商品一覧表がIDの昇順に表示されるかを確認</t>
  </si>
  <si>
    <t>商品一覧表がIDの降順に表示されるかを確認</t>
  </si>
  <si>
    <t>商品一覧表が保管場所の昇順に表示されるかを確認</t>
  </si>
  <si>
    <t>商品一覧表が保管場所の降順に表示されるかを確認</t>
  </si>
  <si>
    <t>商品一覧表が発売日の昇順に表示されるかを確認</t>
  </si>
  <si>
    <t>商品一覧表が発売日の降順に表示されるかを確認</t>
  </si>
  <si>
    <t>商品情報リストが発売日の昇順に並び替えられたかを確認</t>
    <phoneticPr fontId="1"/>
  </si>
  <si>
    <t>商品情報リストが発売日の降順に並び替えられたかを確認</t>
    <phoneticPr fontId="1"/>
  </si>
  <si>
    <t>商品情報リストが貸出/返却日の昇順に並び替えられたかを確認</t>
    <phoneticPr fontId="1"/>
  </si>
  <si>
    <t>商品情報リストが貸出/返却日の降順に並び替えられたかを確認</t>
    <phoneticPr fontId="1"/>
  </si>
  <si>
    <t>商品情報が表示される</t>
    <rPh sb="0" eb="2">
      <t>ショウヒン</t>
    </rPh>
    <rPh sb="2" eb="4">
      <t>ジョウホウ</t>
    </rPh>
    <phoneticPr fontId="1"/>
  </si>
  <si>
    <t>商品一覧表がIDの昇順に表示される</t>
  </si>
  <si>
    <t>商品一覧表がIDの降順に表示される</t>
  </si>
  <si>
    <t>商品一覧表が保管場所の昇順に表示される</t>
  </si>
  <si>
    <t>商品一覧表が保管場所の降順に表示される</t>
  </si>
  <si>
    <t>商品一覧表が発売日の昇順に表示される</t>
  </si>
  <si>
    <t>商品一覧表が発売日の降順に表示される</t>
  </si>
  <si>
    <t>商品情報リストが発売日の昇順に並び替わる</t>
  </si>
  <si>
    <t>商品情報リストが発売日の降順に並び替わる</t>
  </si>
  <si>
    <t>商品情報リストが貸出/返却日の昇順に並び替わる</t>
  </si>
  <si>
    <t>商品情報リストが貸出/返却日の降順に並び替わる</t>
  </si>
  <si>
    <t>入力パラメータ 変数gに商品情報のアドレス</t>
  </si>
  <si>
    <t>入力パラメータ 変数keyに 1、udに 1</t>
  </si>
  <si>
    <t>入力パラメータ 変数keyに 1、udに 2</t>
  </si>
  <si>
    <t>入力パラメータ 変数keyに 2、udに 1</t>
  </si>
  <si>
    <t>入力パラメータ 変数keyに 2、udに 2</t>
  </si>
  <si>
    <t>入力パラメータ 変数keyに 3、udに 1</t>
  </si>
  <si>
    <t>入力パラメータ 変数keyに 3、udに 2</t>
  </si>
  <si>
    <t>入力パラメータ 変数keyに 4、udに 2</t>
  </si>
  <si>
    <t>BT-2001</t>
    <phoneticPr fontId="1"/>
  </si>
  <si>
    <t>正常な形式の商品情報ファイル</t>
    <rPh sb="0" eb="2">
      <t xml:space="preserve">セイジョウナ </t>
    </rPh>
    <rPh sb="3" eb="5">
      <t xml:space="preserve">ケイシキノ </t>
    </rPh>
    <rPh sb="6" eb="8">
      <t xml:space="preserve">ショウヒン </t>
    </rPh>
    <rPh sb="8" eb="10">
      <t xml:space="preserve">カイインジョウホウ </t>
    </rPh>
    <phoneticPr fontId="1"/>
  </si>
  <si>
    <t>loadGoodsFromCSV</t>
    <phoneticPr fontId="1"/>
  </si>
  <si>
    <t>商品情報ファイルから正しい形式のデータを読み込めるか確認</t>
    <rPh sb="10" eb="11">
      <t xml:space="preserve">タダシイ </t>
    </rPh>
    <rPh sb="13" eb="15">
      <t xml:space="preserve">ケイシキノ </t>
    </rPh>
    <phoneticPr fontId="1"/>
  </si>
  <si>
    <t>商品情報ファイルから不正な形式のデータを読み込まないか確認</t>
    <rPh sb="4" eb="5">
      <t>ファイルカラヘ</t>
    </rPh>
    <rPh sb="10" eb="12">
      <t xml:space="preserve">フセイナ </t>
    </rPh>
    <rPh sb="13" eb="15">
      <t xml:space="preserve">ケイシキノ </t>
    </rPh>
    <rPh sb="20" eb="21">
      <t xml:space="preserve">ヨミコマナイカ </t>
    </rPh>
    <rPh sb="27" eb="29">
      <t xml:space="preserve">カクニン </t>
    </rPh>
    <phoneticPr fontId="1"/>
  </si>
  <si>
    <t>不正な形式の商品情報ファイル（フィールド数が9未満の行を含む）</t>
    <rPh sb="0" eb="2">
      <t xml:space="preserve">フセイナケイシキノ </t>
    </rPh>
    <rPh sb="6" eb="10">
      <t xml:space="preserve">ショウヒンジョウホウ </t>
    </rPh>
    <rPh sb="23" eb="25">
      <t xml:space="preserve">ミマン </t>
    </rPh>
    <phoneticPr fontId="1"/>
  </si>
  <si>
    <t>変数goodsListに正しいデータが格納される</t>
    <rPh sb="12" eb="13">
      <t xml:space="preserve">タダシイ </t>
    </rPh>
    <rPh sb="19" eb="21">
      <t xml:space="preserve">カクノウサレル </t>
    </rPh>
    <phoneticPr fontId="1"/>
  </si>
  <si>
    <t>変数goodsListに不正なデータが格納されず，「不正なフォーマットの行をスキップしました」が出力．</t>
    <rPh sb="12" eb="14">
      <t xml:space="preserve">フセイナ </t>
    </rPh>
    <rPh sb="48" eb="50">
      <t xml:space="preserve">シュツリョク </t>
    </rPh>
    <phoneticPr fontId="1"/>
  </si>
  <si>
    <t>誤った商品情報ファイルのパス</t>
    <rPh sb="0" eb="1">
      <t xml:space="preserve">アヤマッタ </t>
    </rPh>
    <rPh sb="3" eb="7">
      <t xml:space="preserve">ショウヒンジョウホウ </t>
    </rPh>
    <phoneticPr fontId="1"/>
  </si>
  <si>
    <t>「エラー: 商品情報の読み込みに失敗しました。」と表示される</t>
    <phoneticPr fontId="1"/>
  </si>
  <si>
    <t>generateProductId</t>
    <phoneticPr fontId="1"/>
  </si>
  <si>
    <t>BT-2002</t>
    <phoneticPr fontId="1"/>
  </si>
  <si>
    <t>BT-2003</t>
    <phoneticPr fontId="1"/>
  </si>
  <si>
    <t>BT-2004</t>
    <phoneticPr fontId="1"/>
  </si>
  <si>
    <t>商品IDが正しく生成されるかを確認</t>
    <phoneticPr fontId="1"/>
  </si>
  <si>
    <t>商品情報ファイルが存在しない，エラーメッセージを出力するか確認</t>
    <rPh sb="9" eb="11">
      <t xml:space="preserve">ソンザイシナイ </t>
    </rPh>
    <rPh sb="24" eb="26">
      <t xml:space="preserve">シュツリョクスルカカクニン </t>
    </rPh>
    <phoneticPr fontId="1"/>
  </si>
  <si>
    <t>入力パラメータ
maxSerialNumber = 5, currentDate = "20231120"</t>
    <phoneticPr fontId="1"/>
  </si>
  <si>
    <t>正しい形式のIDが生成される</t>
    <phoneticPr fontId="1"/>
  </si>
  <si>
    <t>日付が変更された場合，商品IDの連番がリセットされるか確認</t>
    <rPh sb="11" eb="13">
      <t xml:space="preserve">ショウヒン </t>
    </rPh>
    <rPh sb="27" eb="29">
      <t xml:space="preserve">カクニン </t>
    </rPh>
    <phoneticPr fontId="1"/>
  </si>
  <si>
    <t>入力パラメータ
currentDate != 今日の日付</t>
    <phoneticPr fontId="1"/>
  </si>
  <si>
    <t>maxSerialNumberがリセットされる</t>
    <phoneticPr fontId="1"/>
  </si>
  <si>
    <t>BT-2005</t>
    <phoneticPr fontId="1"/>
  </si>
  <si>
    <t>saveToCSV</t>
    <phoneticPr fontId="1"/>
  </si>
  <si>
    <t>BT-2006</t>
    <phoneticPr fontId="1"/>
  </si>
  <si>
    <t>正しいデータがCSVに保存される確認</t>
    <rPh sb="16" eb="18">
      <t xml:space="preserve">カクニン </t>
    </rPh>
    <phoneticPr fontId="1"/>
  </si>
  <si>
    <t>商品情報がCSVに追記される</t>
    <phoneticPr fontId="1"/>
  </si>
  <si>
    <t>BT-2007</t>
    <phoneticPr fontId="1"/>
  </si>
  <si>
    <t>書き込み時にエラーが発生した場合の確認</t>
    <phoneticPr fontId="1"/>
  </si>
  <si>
    <t>正しい情報が格納されたProductオブジェクト</t>
    <rPh sb="0" eb="1">
      <t xml:space="preserve">タダシイ </t>
    </rPh>
    <rPh sb="3" eb="5">
      <t xml:space="preserve">ジョウホウガ </t>
    </rPh>
    <rPh sb="6" eb="8">
      <t xml:space="preserve">カクノウサレタ </t>
    </rPh>
    <phoneticPr fontId="1"/>
  </si>
  <si>
    <t>書き込み権限がないCSV</t>
    <phoneticPr fontId="1"/>
  </si>
  <si>
    <t>エラーメッセージ「エラー: 商品情報の保存に失敗しました。」が表示される</t>
    <phoneticPr fontId="1"/>
  </si>
  <si>
    <t>goodsManageMenu</t>
    <phoneticPr fontId="1"/>
  </si>
  <si>
    <t>BT-2008</t>
    <phoneticPr fontId="1"/>
  </si>
  <si>
    <t>コンソールから
1, 2, 3を入力</t>
    <phoneticPr fontId="1"/>
  </si>
  <si>
    <t>登録画面、変更/削除画面、一覧表示画面が正しく表示される</t>
    <rPh sb="0" eb="4">
      <t xml:space="preserve">トウロクガメン </t>
    </rPh>
    <rPh sb="5" eb="7">
      <t xml:space="preserve">ヘンコウ </t>
    </rPh>
    <rPh sb="8" eb="10">
      <t xml:space="preserve">サクジョ </t>
    </rPh>
    <rPh sb="10" eb="12">
      <t xml:space="preserve">ガメン </t>
    </rPh>
    <rPh sb="13" eb="19">
      <t xml:space="preserve">イチランヒョウジガメン </t>
    </rPh>
    <rPh sb="20" eb="21">
      <t xml:space="preserve">タダシク </t>
    </rPh>
    <rPh sb="23" eb="25">
      <t xml:space="preserve">ヒョウジサレル </t>
    </rPh>
    <phoneticPr fontId="1"/>
  </si>
  <si>
    <t>メニュー選択が動作するか確認</t>
    <rPh sb="12" eb="14">
      <t xml:space="preserve">カクニン </t>
    </rPh>
    <phoneticPr fontId="1"/>
  </si>
  <si>
    <t>無効な数値を入力した場合の動作を確認</t>
    <rPh sb="0" eb="2">
      <t xml:space="preserve">ムコウナ </t>
    </rPh>
    <rPh sb="3" eb="5">
      <t xml:space="preserve">スウチヲ </t>
    </rPh>
    <rPh sb="6" eb="8">
      <t xml:space="preserve">ニュウリョクスル </t>
    </rPh>
    <rPh sb="13" eb="15">
      <t xml:space="preserve">ドウサヲ </t>
    </rPh>
    <rPh sb="16" eb="18">
      <t xml:space="preserve">カクニン </t>
    </rPh>
    <phoneticPr fontId="1"/>
  </si>
  <si>
    <t>コンソールから
9を入力</t>
    <phoneticPr fontId="1"/>
  </si>
  <si>
    <t>エラーメッセージ「無効な入力です。再度入力してください。」が表示される</t>
    <phoneticPr fontId="1"/>
  </si>
  <si>
    <t>registerProduct</t>
    <phoneticPr fontId="1"/>
  </si>
  <si>
    <t>BT-2010</t>
    <phoneticPr fontId="1"/>
  </si>
  <si>
    <t>全ての入力が正常で商品が登録されるか確認</t>
    <rPh sb="18" eb="20">
      <t xml:space="preserve">カクニン </t>
    </rPh>
    <phoneticPr fontId="1"/>
  </si>
  <si>
    <t>商品IDが正しく登録され、CSVに追加される</t>
    <rPh sb="5" eb="6">
      <t xml:space="preserve">タダシク </t>
    </rPh>
    <rPh sb="20" eb="22">
      <t>シュトク</t>
    </rPh>
    <phoneticPr fontId="1"/>
  </si>
  <si>
    <t>タイトルの桁数超過にエラーメッセージが表示されるか確認</t>
    <rPh sb="19" eb="21">
      <t xml:space="preserve">ヒョウジサレルカ </t>
    </rPh>
    <rPh sb="25" eb="27">
      <t xml:space="preserve">カクニン </t>
    </rPh>
    <phoneticPr fontId="1"/>
  </si>
  <si>
    <t>エラーメッセージ「タイトルは半角20文字以内で入力してください。」が表示され、再入力を促される</t>
    <phoneticPr fontId="1"/>
  </si>
  <si>
    <t>BT-2011</t>
    <phoneticPr fontId="1"/>
  </si>
  <si>
    <t>BT-2012</t>
  </si>
  <si>
    <t>不正な日付入力時にエラーメッセージが表示されるか確認</t>
    <rPh sb="0" eb="2">
      <t xml:space="preserve">フセイナ </t>
    </rPh>
    <rPh sb="3" eb="5">
      <t xml:space="preserve">ヒヅケ </t>
    </rPh>
    <rPh sb="5" eb="8">
      <t xml:space="preserve">ニュウリョクジニ </t>
    </rPh>
    <rPh sb="18" eb="20">
      <t xml:space="preserve">ヒョウジサレルカカクニン </t>
    </rPh>
    <phoneticPr fontId="1"/>
  </si>
  <si>
    <t>入力パラメータ
任意のタイトル、
ジャンル、
不正な日付
を画面入力</t>
    <phoneticPr fontId="1"/>
  </si>
  <si>
    <t>エラーメッセージ「ジャンルは半角10文字以内で入力してください。」が表示され、再入力を促される</t>
    <phoneticPr fontId="1"/>
  </si>
  <si>
    <t>ジャンルの桁数超過にエラーメッセージが表示されるか確認</t>
    <rPh sb="19" eb="21">
      <t xml:space="preserve">ヒョウジサレルカ </t>
    </rPh>
    <rPh sb="25" eb="27">
      <t xml:space="preserve">カクニン </t>
    </rPh>
    <phoneticPr fontId="1"/>
  </si>
  <si>
    <t>入力パラメータ
20桁以下のタイトル、
10桁以上のジャンル、
正しい日付
を画面入力</t>
    <rPh sb="10" eb="11">
      <t xml:space="preserve">ケタ </t>
    </rPh>
    <rPh sb="11" eb="13">
      <t xml:space="preserve">イカ </t>
    </rPh>
    <rPh sb="22" eb="23">
      <t xml:space="preserve">ケタ </t>
    </rPh>
    <rPh sb="23" eb="25">
      <t xml:space="preserve">イジョウ </t>
    </rPh>
    <phoneticPr fontId="1"/>
  </si>
  <si>
    <t>入力パラメータ
20桁以下のタイトル、
10桁以下のジャンル、
正しい日付
を画面入力</t>
    <rPh sb="10" eb="11">
      <t xml:space="preserve">ケタ </t>
    </rPh>
    <rPh sb="11" eb="13">
      <t xml:space="preserve">イカ </t>
    </rPh>
    <rPh sb="23" eb="25">
      <t xml:space="preserve">イカ </t>
    </rPh>
    <rPh sb="26" eb="27">
      <t xml:space="preserve">タダシイ </t>
    </rPh>
    <phoneticPr fontId="1"/>
  </si>
  <si>
    <t>入力パラメータ
20桁以上のタイトル、
10桁以下のジャンル、
正しい日付
を画面入力</t>
    <rPh sb="10" eb="11">
      <t xml:space="preserve">ケタ </t>
    </rPh>
    <rPh sb="11" eb="13">
      <t xml:space="preserve">イジョウ </t>
    </rPh>
    <rPh sb="23" eb="25">
      <t xml:space="preserve">イカ </t>
    </rPh>
    <phoneticPr fontId="1"/>
  </si>
  <si>
    <t>BT-2013</t>
  </si>
  <si>
    <t>エラーメッセージ「無効な日付です。再入力してください。」が表示され、再入力を促される</t>
    <phoneticPr fontId="1"/>
  </si>
  <si>
    <t>getGoodsList</t>
    <phoneticPr fontId="1"/>
  </si>
  <si>
    <t>BT-2014</t>
    <phoneticPr fontId="1"/>
  </si>
  <si>
    <t>入力パラメータ 
goodsList</t>
    <phoneticPr fontId="1"/>
  </si>
  <si>
    <t xml:space="preserve"> 戻り値：goodsList</t>
    <rPh sb="1" eb="2">
      <t xml:space="preserve">モドリチ </t>
    </rPh>
    <phoneticPr fontId="1"/>
  </si>
  <si>
    <t>商品リストが取得されるか確認</t>
    <rPh sb="12" eb="14">
      <t xml:space="preserve">カクニン </t>
    </rPh>
    <phoneticPr fontId="1"/>
  </si>
  <si>
    <t>findProductById</t>
    <phoneticPr fontId="1"/>
  </si>
  <si>
    <t>BT-2015</t>
    <phoneticPr fontId="1"/>
  </si>
  <si>
    <t>存在する商品IDが検索され、その商品のID, タイトル、ジャンル、発売日が表示されるかを確認</t>
    <rPh sb="37" eb="39">
      <t xml:space="preserve">ヒョウジ </t>
    </rPh>
    <phoneticPr fontId="1"/>
  </si>
  <si>
    <t xml:space="preserve">入力パラメータ 
存在する商品ID
</t>
    <rPh sb="9" eb="11">
      <t xml:space="preserve">ソンザイスル </t>
    </rPh>
    <rPh sb="13" eb="15">
      <t xml:space="preserve">ショウヒン </t>
    </rPh>
    <phoneticPr fontId="1"/>
  </si>
  <si>
    <t>Productリストが返される</t>
    <rPh sb="11" eb="12">
      <t xml:space="preserve">カエサレル </t>
    </rPh>
    <phoneticPr fontId="1"/>
  </si>
  <si>
    <t>BT-2016</t>
    <phoneticPr fontId="1"/>
  </si>
  <si>
    <t>存在しない商品IDを入力したとき，nullが返されるか確認</t>
    <rPh sb="0" eb="1">
      <t xml:space="preserve">ソンザイシナイ </t>
    </rPh>
    <rPh sb="5" eb="7">
      <t xml:space="preserve">ショウヒン </t>
    </rPh>
    <rPh sb="27" eb="29">
      <t xml:space="preserve">カクニン </t>
    </rPh>
    <phoneticPr fontId="1"/>
  </si>
  <si>
    <t xml:space="preserve">入力パラメータ 
存在しない商品ID
</t>
    <rPh sb="9" eb="10">
      <t xml:space="preserve">ソンザイシナイ </t>
    </rPh>
    <rPh sb="14" eb="16">
      <t xml:space="preserve">ショウヒン </t>
    </rPh>
    <phoneticPr fontId="1"/>
  </si>
  <si>
    <t>戻り値 null</t>
    <phoneticPr fontId="1"/>
  </si>
  <si>
    <t>lendProduct</t>
    <phoneticPr fontId="1"/>
  </si>
  <si>
    <t>returnProduct</t>
    <phoneticPr fontId="1"/>
  </si>
  <si>
    <t>BT-2018</t>
    <phoneticPr fontId="1"/>
  </si>
  <si>
    <t>貸出中ではない商品IDを入力した場合，貸出情報が更新されるか確認</t>
    <rPh sb="0" eb="3">
      <t xml:space="preserve">カシダシチュウデハナイ </t>
    </rPh>
    <rPh sb="12" eb="14">
      <t xml:space="preserve">ニュウリョクシタ </t>
    </rPh>
    <rPh sb="16" eb="18">
      <t xml:space="preserve">バアイ </t>
    </rPh>
    <rPh sb="19" eb="23">
      <t xml:space="preserve">カシダシジョウホウガ </t>
    </rPh>
    <rPh sb="24" eb="26">
      <t xml:space="preserve">コウシンサレルカ </t>
    </rPh>
    <rPh sb="30" eb="32">
      <t xml:space="preserve">カクニン </t>
    </rPh>
    <phoneticPr fontId="1"/>
  </si>
  <si>
    <t>入力データ
貸出可能な商品ID</t>
    <rPh sb="0" eb="1">
      <t xml:space="preserve">ニュウリョクデータ </t>
    </rPh>
    <rPh sb="6" eb="10">
      <t xml:space="preserve">カシダシカノウナ </t>
    </rPh>
    <rPh sb="11" eb="13">
      <t xml:space="preserve">ショウヒン </t>
    </rPh>
    <phoneticPr fontId="1"/>
  </si>
  <si>
    <t>「貸出が登録されました。」と表示され、lendStatus=1となる。さらにCSVファイルに保存される。</t>
    <phoneticPr fontId="1"/>
  </si>
  <si>
    <t>貸出中商品の商品IDを入力した場合、エラーメッセージが出力されるか確認</t>
    <rPh sb="0" eb="1">
      <t xml:space="preserve">カシダシチュウ </t>
    </rPh>
    <rPh sb="3" eb="5">
      <t xml:space="preserve">ショウヒンヲ </t>
    </rPh>
    <rPh sb="6" eb="8">
      <t xml:space="preserve">ショウヒン </t>
    </rPh>
    <rPh sb="11" eb="13">
      <t xml:space="preserve">ニュウリョクシタバアイ </t>
    </rPh>
    <rPh sb="27" eb="29">
      <t xml:space="preserve">シュツリョクサレルカカクニン </t>
    </rPh>
    <phoneticPr fontId="1"/>
  </si>
  <si>
    <t>入力データ
貸出の商品ID</t>
    <phoneticPr fontId="1"/>
  </si>
  <si>
    <t>「この商品は既に貸出中です。」というメッセージが出力される</t>
    <rPh sb="0" eb="2">
      <t>「</t>
    </rPh>
    <rPh sb="24" eb="26">
      <t xml:space="preserve">シュツリョクサレル </t>
    </rPh>
    <phoneticPr fontId="1"/>
  </si>
  <si>
    <t>BT-2019</t>
    <phoneticPr fontId="1"/>
  </si>
  <si>
    <t>存在しない商品IDを入力した場合、エラーメッセージが出力されるか確認</t>
    <rPh sb="0" eb="2">
      <t xml:space="preserve">ソンザイシナイ </t>
    </rPh>
    <rPh sb="5" eb="7">
      <t xml:space="preserve">ショウヒン </t>
    </rPh>
    <rPh sb="10" eb="12">
      <t xml:space="preserve">ニュウリョク </t>
    </rPh>
    <rPh sb="26" eb="28">
      <t xml:space="preserve">シュツリョクサレルカカクニン </t>
    </rPh>
    <phoneticPr fontId="1"/>
  </si>
  <si>
    <t>入力データ
存在しない商品ID</t>
    <rPh sb="0" eb="2">
      <t xml:space="preserve">ニュウリョクデータ </t>
    </rPh>
    <rPh sb="6" eb="8">
      <t xml:space="preserve">ソンザイシナイ </t>
    </rPh>
    <rPh sb="11" eb="13">
      <t xml:space="preserve">ショウヒン </t>
    </rPh>
    <phoneticPr fontId="1"/>
  </si>
  <si>
    <t>「商品が見つかりません。」というメッセージが出力される</t>
    <phoneticPr fontId="1"/>
  </si>
  <si>
    <t>BT-2020</t>
    <phoneticPr fontId="1"/>
  </si>
  <si>
    <t>BT-2021</t>
    <phoneticPr fontId="1"/>
  </si>
  <si>
    <t>getTodayDate</t>
    <phoneticPr fontId="1"/>
  </si>
  <si>
    <t>貸出中の商品が返却され、必要な情報が設定されるか確認</t>
    <rPh sb="0" eb="3">
      <t xml:space="preserve">カシダシチュウノ </t>
    </rPh>
    <rPh sb="4" eb="6">
      <t xml:space="preserve">ショウヒンヲ </t>
    </rPh>
    <rPh sb="7" eb="9">
      <t xml:space="preserve">ヘンキャクサレ </t>
    </rPh>
    <rPh sb="12" eb="14">
      <t xml:space="preserve">ヒツヨウナ </t>
    </rPh>
    <rPh sb="15" eb="17">
      <t xml:space="preserve">ジョウホウガ </t>
    </rPh>
    <rPh sb="18" eb="20">
      <t xml:space="preserve">セッテイサレルカ </t>
    </rPh>
    <rPh sb="24" eb="26">
      <t xml:space="preserve">カクニン </t>
    </rPh>
    <phoneticPr fontId="1"/>
  </si>
  <si>
    <t>入力パラメータ
貸出中の商品ID</t>
    <rPh sb="8" eb="11">
      <t xml:space="preserve">カシダシチュウノ </t>
    </rPh>
    <rPh sb="12" eb="14">
      <t xml:space="preserve">ショウヒン </t>
    </rPh>
    <phoneticPr fontId="1"/>
  </si>
  <si>
    <t>商品情報が
LendStatus : 0
MemberId : すべて0
ReturnDate ; 本日日付
となり、CSVに保存</t>
    <rPh sb="0" eb="4">
      <t xml:space="preserve">ショウヒンジョウホウガ </t>
    </rPh>
    <rPh sb="50" eb="54">
      <t xml:space="preserve">ホンジツヒヅケ </t>
    </rPh>
    <rPh sb="63" eb="65">
      <t xml:space="preserve">ホゾン </t>
    </rPh>
    <phoneticPr fontId="1"/>
  </si>
  <si>
    <t>BT-2022</t>
    <phoneticPr fontId="1"/>
  </si>
  <si>
    <t>貸出中ではない商品が返却されようとした場合、エラーメッセージが出力されるか確認</t>
    <rPh sb="0" eb="1">
      <t xml:space="preserve">カシダシチュウデハナイ </t>
    </rPh>
    <rPh sb="7" eb="9">
      <t xml:space="preserve">ショウヒン </t>
    </rPh>
    <rPh sb="10" eb="12">
      <t xml:space="preserve">ヘンキャクサレヨウトシタバアイ </t>
    </rPh>
    <rPh sb="31" eb="33">
      <t xml:space="preserve">シュツリョクサレルカカクニン </t>
    </rPh>
    <phoneticPr fontId="1"/>
  </si>
  <si>
    <t>入力パラメータ
貸出中ではない商品ID</t>
    <phoneticPr fontId="1"/>
  </si>
  <si>
    <t>「この商品は貸出中ではありません。」と画面に出力される。</t>
    <rPh sb="19" eb="21">
      <t xml:space="preserve">ガメンニ </t>
    </rPh>
    <rPh sb="22" eb="24">
      <t xml:space="preserve">シュツリョクサレル </t>
    </rPh>
    <phoneticPr fontId="1"/>
  </si>
  <si>
    <t>BT-2023</t>
    <phoneticPr fontId="1"/>
  </si>
  <si>
    <t>正しい日付が呼び出されることの確認</t>
    <rPh sb="0" eb="1">
      <t xml:space="preserve">タダシイヒヅケ </t>
    </rPh>
    <rPh sb="6" eb="7">
      <t xml:space="preserve">ヨビダサレルコトノカクニン </t>
    </rPh>
    <phoneticPr fontId="1"/>
  </si>
  <si>
    <t>戻り値：YYYYMMDD</t>
    <rPh sb="0" eb="1">
      <t xml:space="preserve">モドリチ </t>
    </rPh>
    <phoneticPr fontId="1"/>
  </si>
  <si>
    <t>modifyOrDeleteProduct</t>
    <phoneticPr fontId="1"/>
  </si>
  <si>
    <t>BT-2024</t>
    <phoneticPr fontId="1"/>
  </si>
  <si>
    <t>画面表示にある通り、正しい画面遷移が行われるか確認</t>
    <rPh sb="0" eb="4">
      <t xml:space="preserve">ガメンヒョウジニ </t>
    </rPh>
    <rPh sb="10" eb="11">
      <t xml:space="preserve">タダシイ </t>
    </rPh>
    <rPh sb="18" eb="19">
      <t xml:space="preserve">オコナワレルカ </t>
    </rPh>
    <rPh sb="23" eb="25">
      <t xml:space="preserve">カクニン </t>
    </rPh>
    <phoneticPr fontId="1"/>
  </si>
  <si>
    <t>BT-2025</t>
    <phoneticPr fontId="1"/>
  </si>
  <si>
    <t>商品ID入力画面で0を押下すると、商品情報管理画面へ戻ることの確認</t>
    <rPh sb="0" eb="2">
      <t xml:space="preserve">ショウヒン </t>
    </rPh>
    <rPh sb="4" eb="8">
      <t xml:space="preserve">ニュウリョクガメンデ </t>
    </rPh>
    <rPh sb="11" eb="13">
      <t xml:space="preserve">オウカスルト </t>
    </rPh>
    <rPh sb="17" eb="23">
      <t xml:space="preserve">ショウヒンジョウホウカンリ </t>
    </rPh>
    <rPh sb="23" eb="25">
      <t xml:space="preserve">ガメンヘ </t>
    </rPh>
    <rPh sb="26" eb="27">
      <t xml:space="preserve">モドル </t>
    </rPh>
    <phoneticPr fontId="1"/>
  </si>
  <si>
    <t>画面から0を入力</t>
    <phoneticPr fontId="1"/>
  </si>
  <si>
    <t>商品情報管理メニューに戻る</t>
    <rPh sb="0" eb="1">
      <t xml:space="preserve">ショウヒンジョウホウカンリメニューニ </t>
    </rPh>
    <rPh sb="11" eb="12">
      <t xml:space="preserve">モドル </t>
    </rPh>
    <phoneticPr fontId="1"/>
  </si>
  <si>
    <t>商品ID入力画面で0以外を押下すると、エラーメッセージが表示されることの確認</t>
    <rPh sb="0" eb="2">
      <t xml:space="preserve">ショウヒン </t>
    </rPh>
    <rPh sb="4" eb="8">
      <t xml:space="preserve">ニュウリョクガメンデ </t>
    </rPh>
    <rPh sb="10" eb="12">
      <t xml:space="preserve">イガイ </t>
    </rPh>
    <rPh sb="13" eb="15">
      <t xml:space="preserve">オウカスルト </t>
    </rPh>
    <rPh sb="28" eb="30">
      <t xml:space="preserve">ヒョウジサレルコトノカクニン </t>
    </rPh>
    <phoneticPr fontId="1"/>
  </si>
  <si>
    <t>画面から0以外の存在しない商品IDを入力</t>
    <rPh sb="0" eb="1">
      <t xml:space="preserve">ガメンカラ </t>
    </rPh>
    <rPh sb="5" eb="7">
      <t xml:space="preserve">イガイノ </t>
    </rPh>
    <rPh sb="8" eb="10">
      <t xml:space="preserve">ソンザイシナイ </t>
    </rPh>
    <rPh sb="13" eb="15">
      <t xml:space="preserve">ショウヒン </t>
    </rPh>
    <phoneticPr fontId="1"/>
  </si>
  <si>
    <t>「商品が見つかりません」と出力される</t>
    <rPh sb="1" eb="3">
      <t xml:space="preserve">ショウヒンガ </t>
    </rPh>
    <rPh sb="4" eb="5">
      <t xml:space="preserve">ミツカリマセン </t>
    </rPh>
    <rPh sb="13" eb="15">
      <t xml:space="preserve">シュツリョク </t>
    </rPh>
    <phoneticPr fontId="1"/>
  </si>
  <si>
    <t>商品情報確認画面で1, 2, 0をそれぞれ入力すると正しい画面遷移となることを確認</t>
    <rPh sb="0" eb="2">
      <t xml:space="preserve">ショウヒン </t>
    </rPh>
    <rPh sb="2" eb="8">
      <t xml:space="preserve">ジョウホウカクニンガメン </t>
    </rPh>
    <rPh sb="26" eb="27">
      <t xml:space="preserve">タダシイガメンセンイト </t>
    </rPh>
    <phoneticPr fontId="1"/>
  </si>
  <si>
    <t>1
2
0
を入力</t>
    <phoneticPr fontId="1"/>
  </si>
  <si>
    <t>それぞれ、変更、削除、商品情報管理メニューに戻る</t>
    <rPh sb="5" eb="7">
      <t xml:space="preserve">ヘンコウ </t>
    </rPh>
    <rPh sb="8" eb="10">
      <t xml:space="preserve">サクジョ </t>
    </rPh>
    <rPh sb="11" eb="17">
      <t xml:space="preserve">ショウヒンジョウホウカンリ </t>
    </rPh>
    <rPh sb="22" eb="23">
      <t xml:space="preserve">モドル </t>
    </rPh>
    <phoneticPr fontId="1"/>
  </si>
  <si>
    <t>商品情報変更入力画面で1を入力</t>
    <phoneticPr fontId="1"/>
  </si>
  <si>
    <t>商品情報変更画面へ遷移</t>
    <rPh sb="0" eb="4">
      <t xml:space="preserve">ショウヒンジョウホウ </t>
    </rPh>
    <rPh sb="9" eb="11">
      <t xml:space="preserve">センイ </t>
    </rPh>
    <phoneticPr fontId="1"/>
  </si>
  <si>
    <t>商品情報変更入力画面で1を入力した際の画面遷移確認</t>
    <rPh sb="0" eb="3">
      <t xml:space="preserve">ショウヒンジョウホウ </t>
    </rPh>
    <rPh sb="4" eb="6">
      <t xml:space="preserve">ヘンコウ </t>
    </rPh>
    <rPh sb="6" eb="10">
      <t xml:space="preserve">ニュウリョクガメンデ </t>
    </rPh>
    <rPh sb="19" eb="23">
      <t xml:space="preserve">ガメンセンイスルコト </t>
    </rPh>
    <rPh sb="23" eb="25">
      <t xml:space="preserve">カクニン </t>
    </rPh>
    <phoneticPr fontId="1"/>
  </si>
  <si>
    <t>商品情報変更入力画面で0を入力した際の画面遷移確認</t>
    <phoneticPr fontId="1"/>
  </si>
  <si>
    <t>商品情報変更入力画面で０を入力</t>
    <phoneticPr fontId="1"/>
  </si>
  <si>
    <t>商品情報管理メニューへ遷移</t>
    <rPh sb="0" eb="1">
      <t xml:space="preserve">ショウヒンジョウホウカンリメニューヘ </t>
    </rPh>
    <rPh sb="11" eb="13">
      <t xml:space="preserve">センイ </t>
    </rPh>
    <phoneticPr fontId="1"/>
  </si>
  <si>
    <t>商品情報変更入力画面で0,1以外を入力した際の画面遷移確認</t>
    <phoneticPr fontId="1"/>
  </si>
  <si>
    <t>商品情報変更入力画面で０, 1以外を入力</t>
    <rPh sb="15" eb="17">
      <t xml:space="preserve">イガイ </t>
    </rPh>
    <phoneticPr fontId="1"/>
  </si>
  <si>
    <t>エラーメッセージ「無効な入力です。再度入力してください。」が出力</t>
    <phoneticPr fontId="1"/>
  </si>
  <si>
    <t>商品情報削除画面における商品の削除確認</t>
    <rPh sb="0" eb="8">
      <t xml:space="preserve">ショウヒンジョウホウサクジョガメン </t>
    </rPh>
    <rPh sb="12" eb="14">
      <t xml:space="preserve">ショウヒン </t>
    </rPh>
    <rPh sb="17" eb="19">
      <t xml:space="preserve">カクニン </t>
    </rPh>
    <phoneticPr fontId="1"/>
  </si>
  <si>
    <t>商品情報削除画面でYを押下</t>
    <rPh sb="0" eb="4">
      <t xml:space="preserve">ショウヒンジョウホウ </t>
    </rPh>
    <rPh sb="4" eb="8">
      <t xml:space="preserve">サクジョガメンデ </t>
    </rPh>
    <rPh sb="11" eb="13">
      <t xml:space="preserve">オウカ </t>
    </rPh>
    <phoneticPr fontId="1"/>
  </si>
  <si>
    <t>正しく商品が削除され、CSVからも商品が削除されていることを確認</t>
    <rPh sb="0" eb="1">
      <t xml:space="preserve">タダシク </t>
    </rPh>
    <rPh sb="3" eb="5">
      <t xml:space="preserve">ショウヒンガ </t>
    </rPh>
    <rPh sb="6" eb="8">
      <t xml:space="preserve">サクジョサレ </t>
    </rPh>
    <rPh sb="17" eb="19">
      <t xml:space="preserve">ショウヒンガ </t>
    </rPh>
    <rPh sb="20" eb="22">
      <t xml:space="preserve">サクジョサレテイルコトヲ </t>
    </rPh>
    <rPh sb="30" eb="32">
      <t xml:space="preserve">カクニン </t>
    </rPh>
    <phoneticPr fontId="1"/>
  </si>
  <si>
    <t>商品情報削除画面でNを押下</t>
    <rPh sb="0" eb="4">
      <t xml:space="preserve">ショウヒンジョウホウ </t>
    </rPh>
    <rPh sb="4" eb="8">
      <t xml:space="preserve">サクジョガメンデ </t>
    </rPh>
    <rPh sb="11" eb="13">
      <t xml:space="preserve">オウカ </t>
    </rPh>
    <phoneticPr fontId="1"/>
  </si>
  <si>
    <t>商品情報削除画面における商品の削除キャンセル確認</t>
    <rPh sb="0" eb="8">
      <t xml:space="preserve">ショウヒンジョウホウサクジョガメン </t>
    </rPh>
    <rPh sb="12" eb="14">
      <t xml:space="preserve">ショウヒン </t>
    </rPh>
    <rPh sb="22" eb="24">
      <t xml:space="preserve">カクニン </t>
    </rPh>
    <phoneticPr fontId="1"/>
  </si>
  <si>
    <t>商品が削除されず、CSVからも商品が削除されていないことを確認</t>
    <rPh sb="0" eb="2">
      <t xml:space="preserve">ショウヒンガ </t>
    </rPh>
    <rPh sb="3" eb="5">
      <t xml:space="preserve">サクジョサレ </t>
    </rPh>
    <rPh sb="15" eb="17">
      <t xml:space="preserve">ショウヒンガ </t>
    </rPh>
    <rPh sb="18" eb="20">
      <t xml:space="preserve">サクジョサレテイルコトヲ </t>
    </rPh>
    <rPh sb="29" eb="31">
      <t xml:space="preserve">カクニン </t>
    </rPh>
    <phoneticPr fontId="1"/>
  </si>
  <si>
    <t>有効な商品IDで商品情報が正しく表示されるか確認</t>
    <phoneticPr fontId="1"/>
  </si>
  <si>
    <t>入力データ
存在する商品ID</t>
    <rPh sb="0" eb="2">
      <t xml:space="preserve">ニュウリョクデータ </t>
    </rPh>
    <phoneticPr fontId="1"/>
  </si>
  <si>
    <t>該当する商品の詳細情報が画面に表示される</t>
    <phoneticPr fontId="1"/>
  </si>
  <si>
    <t>商品情報が正しく変更されるか確認</t>
    <phoneticPr fontId="1"/>
  </si>
  <si>
    <t>入力データ
存在する商品ID
変更後の内容
（本来は具体例を記載）</t>
    <phoneticPr fontId="1"/>
  </si>
  <si>
    <t>商品情報が正しく変更され、変更後の情報が画面に表示される</t>
    <phoneticPr fontId="1"/>
  </si>
  <si>
    <t>存在しない商品IDを入力した場合のエラーメッセージ確認</t>
    <phoneticPr fontId="1"/>
  </si>
  <si>
    <t>入力データ
存在しない商品ID</t>
    <rPh sb="0" eb="2">
      <t xml:space="preserve">ニュウリョクデータ </t>
    </rPh>
    <rPh sb="6" eb="7">
      <t xml:space="preserve">ソンザイシナイ </t>
    </rPh>
    <rPh sb="11" eb="13">
      <t xml:space="preserve">ショウヒン </t>
    </rPh>
    <phoneticPr fontId="1"/>
  </si>
  <si>
    <t>画面ん有力で、対応づいていない数値を入力</t>
    <rPh sb="0" eb="1">
      <t xml:space="preserve">ガメンンユウリョクデ </t>
    </rPh>
    <rPh sb="7" eb="9">
      <t xml:space="preserve">タイオウヅイテイナイ </t>
    </rPh>
    <rPh sb="15" eb="17">
      <t xml:space="preserve">スウチヲ </t>
    </rPh>
    <rPh sb="18" eb="20">
      <t xml:space="preserve">ニュウリョク </t>
    </rPh>
    <phoneticPr fontId="1"/>
  </si>
  <si>
    <t>入力データ
無効な選択肢（例：5）</t>
    <rPh sb="0" eb="2">
      <t xml:space="preserve">ニュウリョクデータ </t>
    </rPh>
    <rPh sb="6" eb="8">
      <t xml:space="preserve">ムコウナセンタクシ </t>
    </rPh>
    <rPh sb="13" eb="14">
      <t xml:space="preserve">レイ </t>
    </rPh>
    <phoneticPr fontId="1"/>
  </si>
  <si>
    <t>エラーメッセージとして「無効な入力です」と表示される．</t>
    <rPh sb="12" eb="14">
      <t xml:space="preserve">ムコウナ </t>
    </rPh>
    <rPh sb="15" eb="17">
      <t xml:space="preserve">ニュウリョクデウ </t>
    </rPh>
    <phoneticPr fontId="1"/>
  </si>
  <si>
    <t>BT-2026</t>
  </si>
  <si>
    <t>BT-2027</t>
  </si>
  <si>
    <t>BT-2028</t>
  </si>
  <si>
    <t>BT-2029</t>
  </si>
  <si>
    <t>BT-2030</t>
  </si>
  <si>
    <t>BT-2031</t>
  </si>
  <si>
    <t>BT-2032</t>
  </si>
  <si>
    <t>BT-2033</t>
  </si>
  <si>
    <t>BT-2034</t>
  </si>
  <si>
    <t>BT-2035</t>
  </si>
  <si>
    <t>BT-2036</t>
  </si>
  <si>
    <t>displayProductDetails</t>
    <phoneticPr fontId="1"/>
  </si>
  <si>
    <t>BT-2037</t>
    <phoneticPr fontId="1"/>
  </si>
  <si>
    <t>商品情報が正しく表示されることの確認</t>
    <rPh sb="5" eb="6">
      <t xml:space="preserve">タダシクヒョウジサレルコトノカクニン </t>
    </rPh>
    <phoneticPr fontId="1"/>
  </si>
  <si>
    <t>入力パラメータ 
正しいproductオブジェクト</t>
    <rPh sb="9" eb="10">
      <t xml:space="preserve">タダシイ </t>
    </rPh>
    <phoneticPr fontId="1"/>
  </si>
  <si>
    <t>全ての属性が正しいフォーマットで表示される．</t>
    <rPh sb="0" eb="1">
      <t xml:space="preserve">スベテノ </t>
    </rPh>
    <rPh sb="3" eb="5">
      <t xml:space="preserve">ゾクセイガ </t>
    </rPh>
    <rPh sb="6" eb="7">
      <t xml:space="preserve">タダシイ </t>
    </rPh>
    <rPh sb="16" eb="18">
      <t xml:space="preserve">ヒョウジサレ </t>
    </rPh>
    <phoneticPr fontId="1"/>
  </si>
  <si>
    <t>BT-2038</t>
    <phoneticPr fontId="1"/>
  </si>
  <si>
    <t>不完全な情報を含む商品情報が存在する場合</t>
    <rPh sb="0" eb="3">
      <t xml:space="preserve">フカンゼンナ </t>
    </rPh>
    <rPh sb="4" eb="6">
      <t xml:space="preserve">ジョウホウヲ </t>
    </rPh>
    <rPh sb="11" eb="13">
      <t xml:space="preserve">ジョウホウ </t>
    </rPh>
    <rPh sb="14" eb="16">
      <t xml:space="preserve">ソンザイスルバアイ </t>
    </rPh>
    <phoneticPr fontId="1"/>
  </si>
  <si>
    <t>入力パラメータ
一部のフィールドにnullやデフォルト値が格納されたproductオブジェクト</t>
    <phoneticPr fontId="1"/>
  </si>
  <si>
    <t>デフォルト値が出力される</t>
    <rPh sb="7" eb="9">
      <t xml:space="preserve">シュツリョクサレル </t>
    </rPh>
    <phoneticPr fontId="1"/>
  </si>
  <si>
    <t>BT-2039</t>
    <phoneticPr fontId="1"/>
  </si>
  <si>
    <t>入力した全ての項目が正しく変更されることを確認</t>
    <rPh sb="0" eb="2">
      <t xml:space="preserve">ニュウリョクシタ </t>
    </rPh>
    <rPh sb="4" eb="5">
      <t xml:space="preserve">スベテノ </t>
    </rPh>
    <rPh sb="7" eb="9">
      <t xml:space="preserve">コウモクガ </t>
    </rPh>
    <rPh sb="10" eb="11">
      <t xml:space="preserve">タダシク </t>
    </rPh>
    <rPh sb="13" eb="15">
      <t xml:space="preserve">ヘンコウサレルコトヲカクニン </t>
    </rPh>
    <phoneticPr fontId="1"/>
  </si>
  <si>
    <t>変更を行う項目に新たな値を画面入力
（本来は各項目をそれぞれ実施）</t>
    <rPh sb="0" eb="2">
      <t xml:space="preserve">ヘンコウヲ </t>
    </rPh>
    <rPh sb="3" eb="4">
      <t xml:space="preserve">オコナウ </t>
    </rPh>
    <rPh sb="8" eb="9">
      <t xml:space="preserve">アラタナ </t>
    </rPh>
    <rPh sb="11" eb="12">
      <t xml:space="preserve">アタイヲ </t>
    </rPh>
    <rPh sb="13" eb="17">
      <t xml:space="preserve">ガメンニュウリョク </t>
    </rPh>
    <rPh sb="19" eb="21">
      <t xml:space="preserve">ホンライハ </t>
    </rPh>
    <rPh sb="22" eb="25">
      <t xml:space="preserve">カクコウモクヲ </t>
    </rPh>
    <phoneticPr fontId="1"/>
  </si>
  <si>
    <t>変更した項目が全て正しく変更されている</t>
    <rPh sb="0" eb="2">
      <t xml:space="preserve">ヘンコウシタ </t>
    </rPh>
    <rPh sb="4" eb="6">
      <t xml:space="preserve">コウモクガ </t>
    </rPh>
    <rPh sb="7" eb="8">
      <t xml:space="preserve">スベテ </t>
    </rPh>
    <phoneticPr fontId="1"/>
  </si>
  <si>
    <t>入力に制約のある項目への不適切なデータの入力</t>
    <rPh sb="0" eb="1">
      <t xml:space="preserve">ニュウリョクニ </t>
    </rPh>
    <rPh sb="3" eb="5">
      <t xml:space="preserve">セイヤク </t>
    </rPh>
    <rPh sb="8" eb="10">
      <t xml:space="preserve">コウモクヘノ </t>
    </rPh>
    <rPh sb="12" eb="15">
      <t xml:space="preserve">フテキセツナ </t>
    </rPh>
    <phoneticPr fontId="1"/>
  </si>
  <si>
    <t>正しくない貸出日付を入力</t>
    <rPh sb="0" eb="1">
      <t xml:space="preserve">タダシクナイ </t>
    </rPh>
    <rPh sb="5" eb="9">
      <t xml:space="preserve">カシダシヒヅケヲ </t>
    </rPh>
    <rPh sb="10" eb="12">
      <t xml:space="preserve">ニュウリョク </t>
    </rPh>
    <phoneticPr fontId="1"/>
  </si>
  <si>
    <t>「エラー: 無効な日付です。変更をキャンセルしました。」と画面に表示される</t>
    <phoneticPr fontId="1"/>
  </si>
  <si>
    <t>「商品情報が変更されました。」というメッセーが出力され，CSVファイルが変更される</t>
    <phoneticPr fontId="1"/>
  </si>
  <si>
    <t>変更後の商品情報入力後、0を入力</t>
    <rPh sb="0" eb="3">
      <t xml:space="preserve">ヘンコウゴノショウヒンジョウホウ </t>
    </rPh>
    <rPh sb="8" eb="11">
      <t xml:space="preserve">ニュウリョクゴ </t>
    </rPh>
    <rPh sb="14" eb="16">
      <t xml:space="preserve">ニュウリョク </t>
    </rPh>
    <phoneticPr fontId="1"/>
  </si>
  <si>
    <t>「変更を取り消しました。商品情報入力画面に戻ります」と表示、商品情報入力画面へ戻る</t>
    <phoneticPr fontId="1"/>
  </si>
  <si>
    <t>変更情報入力後、1:変更を選択した際の商品情報更新確認</t>
    <rPh sb="0" eb="2">
      <t xml:space="preserve">ヘンコウ </t>
    </rPh>
    <rPh sb="2" eb="4">
      <t xml:space="preserve">ジョウホウ </t>
    </rPh>
    <rPh sb="4" eb="7">
      <t xml:space="preserve">ニュウリョクゴ </t>
    </rPh>
    <rPh sb="10" eb="12">
      <t xml:space="preserve">ヘンコウ </t>
    </rPh>
    <rPh sb="13" eb="15">
      <t xml:space="preserve">センタクシタサイノ </t>
    </rPh>
    <rPh sb="19" eb="27">
      <t xml:space="preserve">ショウヒンジョウホウコウシンカクニン </t>
    </rPh>
    <phoneticPr fontId="1"/>
  </si>
  <si>
    <t>変更情報入力後、0を選択した際の画面遷移確認</t>
    <rPh sb="0" eb="2">
      <t xml:space="preserve">ヘンコウ </t>
    </rPh>
    <rPh sb="2" eb="4">
      <t xml:space="preserve">ジョウホウ </t>
    </rPh>
    <rPh sb="4" eb="7">
      <t xml:space="preserve">ニュウリョクゴ </t>
    </rPh>
    <rPh sb="10" eb="12">
      <t xml:space="preserve">センタクシタサイノ </t>
    </rPh>
    <rPh sb="16" eb="20">
      <t xml:space="preserve">ガメンセンイ </t>
    </rPh>
    <rPh sb="20" eb="22">
      <t xml:space="preserve">カクニン </t>
    </rPh>
    <phoneticPr fontId="1"/>
  </si>
  <si>
    <t>変更情報入力後、0, 1以外を選択した際の画面遷移確認</t>
    <rPh sb="0" eb="2">
      <t xml:space="preserve">ヘンコウ </t>
    </rPh>
    <rPh sb="12" eb="14">
      <t xml:space="preserve">イガイ </t>
    </rPh>
    <phoneticPr fontId="1"/>
  </si>
  <si>
    <t>変更後の商品情報入力後、0, 1以外を入力</t>
    <rPh sb="0" eb="3">
      <t xml:space="preserve">ヘンコウゴノショウヒンジョウホウ </t>
    </rPh>
    <rPh sb="8" eb="11">
      <t xml:space="preserve">ニュウリョクゴ </t>
    </rPh>
    <rPh sb="16" eb="18">
      <t xml:space="preserve">イガイ </t>
    </rPh>
    <rPh sb="19" eb="21">
      <t xml:space="preserve">ニュウリョク </t>
    </rPh>
    <phoneticPr fontId="1"/>
  </si>
  <si>
    <t>「無効な入力です。再度入力してください。」と出力される。</t>
    <phoneticPr fontId="1"/>
  </si>
  <si>
    <t>BT-2040</t>
    <phoneticPr fontId="1"/>
  </si>
  <si>
    <t>BT-2041</t>
  </si>
  <si>
    <t>BT-2042</t>
  </si>
  <si>
    <t>BT-2043</t>
  </si>
  <si>
    <t>BT-2044</t>
  </si>
  <si>
    <t>BT-2045</t>
  </si>
  <si>
    <t>BT-2046</t>
  </si>
  <si>
    <t>BT-2047</t>
  </si>
  <si>
    <t>BT-2048</t>
  </si>
  <si>
    <t>BT-2049</t>
  </si>
  <si>
    <t>modifyProduct</t>
    <phoneticPr fontId="1"/>
  </si>
  <si>
    <t>displayProductList</t>
    <phoneticPr fontId="1"/>
  </si>
  <si>
    <t>BT-2050</t>
    <phoneticPr fontId="1"/>
  </si>
  <si>
    <t>BT-2051</t>
    <phoneticPr fontId="1"/>
  </si>
  <si>
    <t>商品一覧表示項目選択が正しく表示されているか確認</t>
    <rPh sb="11" eb="12">
      <t xml:space="preserve">タダシク </t>
    </rPh>
    <rPh sb="14" eb="16">
      <t xml:space="preserve">ヒョウジサレテイルカカクニン </t>
    </rPh>
    <phoneticPr fontId="1"/>
  </si>
  <si>
    <t>正しく表示されている</t>
    <rPh sb="0" eb="1">
      <t xml:space="preserve">タダシク </t>
    </rPh>
    <rPh sb="3" eb="5">
      <t xml:space="preserve">ヒョウジサレテイル </t>
    </rPh>
    <phoneticPr fontId="1"/>
  </si>
  <si>
    <t>商品情報リストが商品IDの昇順に並び替えられたかを確認</t>
    <rPh sb="8" eb="10">
      <t xml:space="preserve">ショウヒン </t>
    </rPh>
    <phoneticPr fontId="1"/>
  </si>
  <si>
    <t>商品情報リストが商品IDの降順に並び替えられたかを確認</t>
    <rPh sb="8" eb="10">
      <t xml:space="preserve">ショウヒン </t>
    </rPh>
    <phoneticPr fontId="1"/>
  </si>
  <si>
    <t>商品情報リストが商品IDの昇順に並び替わる</t>
    <rPh sb="8" eb="10">
      <t xml:space="preserve">ショウヒン </t>
    </rPh>
    <phoneticPr fontId="1"/>
  </si>
  <si>
    <t>商品情報リストが商品IDの降順に並び替わる</t>
    <rPh sb="8" eb="10">
      <t xml:space="preserve">ショウヒン </t>
    </rPh>
    <phoneticPr fontId="1"/>
  </si>
  <si>
    <t>商品情報リストが保管場所の昇順に並び替えられたかを確認</t>
    <rPh sb="8" eb="12">
      <t xml:space="preserve">ホカンバショ </t>
    </rPh>
    <phoneticPr fontId="1"/>
  </si>
  <si>
    <t>商品情報リストが保管場所の降順に並び替えられたかを確認</t>
    <rPh sb="8" eb="10">
      <t xml:space="preserve">ホカンバセィホ </t>
    </rPh>
    <rPh sb="10" eb="12">
      <t xml:space="preserve">バショ </t>
    </rPh>
    <phoneticPr fontId="1"/>
  </si>
  <si>
    <t>商品情報リストが保管場所の昇順に並び替わる</t>
    <rPh sb="8" eb="12">
      <t xml:space="preserve">ホカンバショ </t>
    </rPh>
    <phoneticPr fontId="1"/>
  </si>
  <si>
    <t>商品情報リストが保管場所の降順に並び替わる</t>
    <rPh sb="8" eb="12">
      <t xml:space="preserve">ホカンバショ </t>
    </rPh>
    <phoneticPr fontId="1"/>
  </si>
  <si>
    <t>商品一覧表示項目選択から商品情報管理メニューへの遷移確認</t>
    <phoneticPr fontId="1"/>
  </si>
  <si>
    <t>商品情報管理メニューに戻る</t>
    <rPh sb="0" eb="4">
      <t xml:space="preserve">ショウヒンジョウホウ </t>
    </rPh>
    <rPh sb="4" eb="6">
      <t xml:space="preserve">カンリメニュー </t>
    </rPh>
    <rPh sb="11" eb="12">
      <t xml:space="preserve">モドル </t>
    </rPh>
    <phoneticPr fontId="1"/>
  </si>
  <si>
    <t>商品一覧表示順選択から商品情報管理メニューへの遷移確認</t>
    <rPh sb="4" eb="7">
      <t xml:space="preserve">ヒョウジジュン </t>
    </rPh>
    <phoneticPr fontId="1"/>
  </si>
  <si>
    <t>3→2の順に画面入力</t>
    <rPh sb="6" eb="10">
      <t xml:space="preserve">ガメンニュウリョク </t>
    </rPh>
    <phoneticPr fontId="1"/>
  </si>
  <si>
    <t>3→1の順に画面入力</t>
    <rPh sb="6" eb="10">
      <t xml:space="preserve">ガメンニュウリョク </t>
    </rPh>
    <phoneticPr fontId="1"/>
  </si>
  <si>
    <t>4→2の順に画面入力</t>
    <phoneticPr fontId="1"/>
  </si>
  <si>
    <t>4→1の順に画面入力</t>
    <phoneticPr fontId="1"/>
  </si>
  <si>
    <t>1→1の順に画面入力</t>
    <rPh sb="6" eb="10">
      <t xml:space="preserve">ガメンニュウリョク </t>
    </rPh>
    <phoneticPr fontId="1"/>
  </si>
  <si>
    <t>1→2の順に画面入力</t>
    <rPh sb="6" eb="10">
      <t xml:space="preserve">ガメンニュウリョク </t>
    </rPh>
    <phoneticPr fontId="1"/>
  </si>
  <si>
    <t>2→1の順に画面入力</t>
    <phoneticPr fontId="1"/>
  </si>
  <si>
    <t>2→2の順に画面入力</t>
    <phoneticPr fontId="1"/>
  </si>
  <si>
    <t>0を画面入力</t>
    <rPh sb="2" eb="4">
      <t xml:space="preserve">ガメンニュリョク </t>
    </rPh>
    <rPh sb="4" eb="6">
      <t xml:space="preserve">ニュウリョク </t>
    </rPh>
    <phoneticPr fontId="1"/>
  </si>
  <si>
    <t>BT-2052</t>
  </si>
  <si>
    <t>BT-2053</t>
  </si>
  <si>
    <t>BT-2054</t>
  </si>
  <si>
    <t>BT-2055</t>
  </si>
  <si>
    <t>BT-2056</t>
  </si>
  <si>
    <t>BT-2057</t>
  </si>
  <si>
    <t>BT-2058</t>
  </si>
  <si>
    <t>BT-2059</t>
  </si>
  <si>
    <t>BT-2060</t>
  </si>
  <si>
    <t>displayProductPages</t>
    <phoneticPr fontId="1"/>
  </si>
  <si>
    <t>BT-2061</t>
    <phoneticPr fontId="1"/>
  </si>
  <si>
    <t>１ページに正しく表示される商品数の確認</t>
    <rPh sb="5" eb="6">
      <t xml:space="preserve">タダシク </t>
    </rPh>
    <rPh sb="8" eb="10">
      <t xml:space="preserve">ヒョウジサレル </t>
    </rPh>
    <rPh sb="13" eb="15">
      <t xml:space="preserve">ショウヒン </t>
    </rPh>
    <rPh sb="15" eb="16">
      <t xml:space="preserve">スウノ </t>
    </rPh>
    <rPh sb="17" eb="19">
      <t xml:space="preserve">カクニン </t>
    </rPh>
    <phoneticPr fontId="1"/>
  </si>
  <si>
    <t>20件の商品が表示される</t>
    <rPh sb="2" eb="3">
      <t xml:space="preserve">ケン </t>
    </rPh>
    <rPh sb="7" eb="9">
      <t xml:space="preserve">ヒョウジサレル </t>
    </rPh>
    <phoneticPr fontId="1"/>
  </si>
  <si>
    <t>次ページへの画面遷移</t>
    <rPh sb="6" eb="10">
      <t xml:space="preserve">ガメンセンイ </t>
    </rPh>
    <phoneticPr fontId="1"/>
  </si>
  <si>
    <t>1を画面入力</t>
    <rPh sb="2" eb="6">
      <t xml:space="preserve">ガメンニュウリョク </t>
    </rPh>
    <phoneticPr fontId="1"/>
  </si>
  <si>
    <t>次のページが表示される。次ページがない場合は「これ以上次のページはありません」と表示される</t>
    <rPh sb="0" eb="1">
      <t xml:space="preserve">ツギノページガ </t>
    </rPh>
    <rPh sb="6" eb="8">
      <t xml:space="preserve">ヒョウジサレル </t>
    </rPh>
    <rPh sb="12" eb="13">
      <t xml:space="preserve">ツギページガナイバアイハ </t>
    </rPh>
    <rPh sb="40" eb="42">
      <t xml:space="preserve">ヒョウジサレル </t>
    </rPh>
    <phoneticPr fontId="1"/>
  </si>
  <si>
    <t>商品情報管理ページへの遷移</t>
    <rPh sb="0" eb="6">
      <t xml:space="preserve">ショウヒンジョウホウカンリページヘノセンイ </t>
    </rPh>
    <phoneticPr fontId="1"/>
  </si>
  <si>
    <t>0を画面入力</t>
    <phoneticPr fontId="1"/>
  </si>
  <si>
    <t>「商品情報管理メニューに戻ります」というメッセージと共に商品情報管理メニューに戻る</t>
    <rPh sb="1" eb="5">
      <t xml:space="preserve">ショウヒンジョウホウ </t>
    </rPh>
    <rPh sb="5" eb="7">
      <t xml:space="preserve">カンリメニューニモドリマス </t>
    </rPh>
    <rPh sb="28" eb="34">
      <t xml:space="preserve">ショウヒンジョウホウカンリメニューニモドル </t>
    </rPh>
    <phoneticPr fontId="1"/>
  </si>
  <si>
    <t>不正な選択肢の入力</t>
    <rPh sb="0" eb="2">
      <t xml:space="preserve">フセイナ </t>
    </rPh>
    <rPh sb="3" eb="6">
      <t xml:space="preserve">センタクシ </t>
    </rPh>
    <rPh sb="7" eb="9">
      <t xml:space="preserve">ニュウリョク </t>
    </rPh>
    <phoneticPr fontId="1"/>
  </si>
  <si>
    <t>0, 1以外を画面入力</t>
    <rPh sb="4" eb="6">
      <t xml:space="preserve">イガイヲ </t>
    </rPh>
    <rPh sb="7" eb="11">
      <t xml:space="preserve">ガメンニュウリョク </t>
    </rPh>
    <phoneticPr fontId="1"/>
  </si>
  <si>
    <t>エラーメッセージ「無効な入力です。再度入力してください。」と画面表示される</t>
    <phoneticPr fontId="1"/>
  </si>
  <si>
    <t>BT-2062</t>
    <phoneticPr fontId="1"/>
  </si>
  <si>
    <t>BT-2063</t>
  </si>
  <si>
    <t>BT-2064</t>
  </si>
  <si>
    <t>BT-2065</t>
    <phoneticPr fontId="1"/>
  </si>
  <si>
    <t>日付が正しくフォーマットされることを確認</t>
    <rPh sb="0" eb="2">
      <t xml:space="preserve">ヒヅケ </t>
    </rPh>
    <rPh sb="18" eb="20">
      <t xml:space="preserve">カクニン </t>
    </rPh>
    <phoneticPr fontId="1"/>
  </si>
  <si>
    <t>入力データ
date="20231120"</t>
    <rPh sb="0" eb="1">
      <t xml:space="preserve">ニュウリョクデータ </t>
    </rPh>
    <phoneticPr fontId="1"/>
  </si>
  <si>
    <t>戻り値：2023/11/20</t>
    <rPh sb="0" eb="1">
      <t xml:space="preserve">モドリチ </t>
    </rPh>
    <phoneticPr fontId="1"/>
  </si>
  <si>
    <t>不正な日付を入力した際の処理確認</t>
    <rPh sb="0" eb="1">
      <t xml:space="preserve">フセイナ </t>
    </rPh>
    <rPh sb="3" eb="5">
      <t xml:space="preserve">ヒヅケ </t>
    </rPh>
    <rPh sb="6" eb="8">
      <t xml:space="preserve">ニュウリョクシタサイ </t>
    </rPh>
    <rPh sb="12" eb="16">
      <t xml:space="preserve">ショリカクニン </t>
    </rPh>
    <phoneticPr fontId="1"/>
  </si>
  <si>
    <t>入力データ
date=null</t>
    <rPh sb="2" eb="6">
      <t xml:space="preserve">ガメンニュウリョク </t>
    </rPh>
    <phoneticPr fontId="1"/>
  </si>
  <si>
    <t>戻り値：0000/00/00</t>
    <rPh sb="0" eb="1">
      <t xml:space="preserve">ツギノページガ </t>
    </rPh>
    <rPh sb="40" eb="42">
      <t xml:space="preserve">ヒョウジサレル </t>
    </rPh>
    <phoneticPr fontId="1"/>
  </si>
  <si>
    <t>formatDate</t>
    <phoneticPr fontId="1"/>
  </si>
  <si>
    <t>confirmDeletion</t>
    <phoneticPr fontId="1"/>
  </si>
  <si>
    <t>商品の削除確認</t>
    <rPh sb="0" eb="1">
      <t xml:space="preserve">ショウヒンオ </t>
    </rPh>
    <rPh sb="2" eb="3">
      <t>ノ</t>
    </rPh>
    <rPh sb="3" eb="4">
      <t xml:space="preserve">サクジョカクニン </t>
    </rPh>
    <phoneticPr fontId="1"/>
  </si>
  <si>
    <t>Yを入力</t>
    <rPh sb="1" eb="2">
      <t xml:space="preserve">ヲニュウリョク </t>
    </rPh>
    <phoneticPr fontId="1"/>
  </si>
  <si>
    <t>戻り値：TRUE</t>
    <rPh sb="0" eb="1">
      <t xml:space="preserve">ツギノページガ </t>
    </rPh>
    <rPh sb="34" eb="36">
      <t xml:space="preserve">ヒョウジサレル </t>
    </rPh>
    <phoneticPr fontId="1"/>
  </si>
  <si>
    <t>商品の削除キャンセル確認</t>
    <rPh sb="0" eb="1">
      <t xml:space="preserve">ショウヒンオ </t>
    </rPh>
    <rPh sb="2" eb="3">
      <t>ノ</t>
    </rPh>
    <rPh sb="3" eb="4">
      <t xml:space="preserve">サクジョカクニン </t>
    </rPh>
    <phoneticPr fontId="1"/>
  </si>
  <si>
    <t>Nを入力</t>
    <rPh sb="1" eb="2">
      <t xml:space="preserve">ヲニュウリョク </t>
    </rPh>
    <phoneticPr fontId="1"/>
  </si>
  <si>
    <t>戻り値：FALSE</t>
    <rPh sb="0" eb="1">
      <t xml:space="preserve">ツギノページガ </t>
    </rPh>
    <rPh sb="35" eb="37">
      <t xml:space="preserve">ヒョウジサレル </t>
    </rPh>
    <phoneticPr fontId="1"/>
  </si>
  <si>
    <t>画面表示の確認</t>
    <rPh sb="0" eb="4">
      <t xml:space="preserve">ガメンヒョウジノ </t>
    </rPh>
    <rPh sb="5" eb="7">
      <t xml:space="preserve">カクニン </t>
    </rPh>
    <phoneticPr fontId="1"/>
  </si>
  <si>
    <t>正しい画面表示がされている</t>
    <rPh sb="0" eb="1">
      <t xml:space="preserve">タダシイガメンヒョウジガ </t>
    </rPh>
    <phoneticPr fontId="1"/>
  </si>
  <si>
    <t>無効な選択肢入力時のエラーメッセージ確認</t>
    <rPh sb="0" eb="2">
      <t xml:space="preserve">ムコウナ </t>
    </rPh>
    <rPh sb="3" eb="5">
      <t xml:space="preserve">センタク </t>
    </rPh>
    <rPh sb="5" eb="6">
      <t xml:space="preserve">シノ </t>
    </rPh>
    <rPh sb="6" eb="9">
      <t xml:space="preserve">ニュウリョクジノ </t>
    </rPh>
    <phoneticPr fontId="1"/>
  </si>
  <si>
    <t>Y,N以外を入力</t>
    <rPh sb="3" eb="5">
      <t xml:space="preserve">イガイヲ </t>
    </rPh>
    <rPh sb="6" eb="8">
      <t xml:space="preserve">ニュウリョク </t>
    </rPh>
    <phoneticPr fontId="1"/>
  </si>
  <si>
    <t>「無効な入力です。'Y' または 'N' を入力してください。」と画面表示</t>
    <phoneticPr fontId="1"/>
  </si>
  <si>
    <t>BT-2066</t>
    <phoneticPr fontId="1"/>
  </si>
  <si>
    <t>BT-2067</t>
  </si>
  <si>
    <t>BT-2068</t>
  </si>
  <si>
    <t>BT-2069</t>
    <phoneticPr fontId="1"/>
  </si>
  <si>
    <t>BT-2070</t>
    <phoneticPr fontId="1"/>
  </si>
  <si>
    <t>compareProducts</t>
    <phoneticPr fontId="1"/>
  </si>
  <si>
    <t>BT-2071</t>
    <phoneticPr fontId="1"/>
  </si>
  <si>
    <t>ソートの確認（商品ID，昇順）</t>
    <rPh sb="4" eb="6">
      <t xml:space="preserve">カクニン </t>
    </rPh>
    <rPh sb="7" eb="9">
      <t xml:space="preserve">ショウヒン </t>
    </rPh>
    <rPh sb="12" eb="14">
      <t xml:space="preserve">ショウジュン </t>
    </rPh>
    <phoneticPr fontId="1"/>
  </si>
  <si>
    <t>入力データ
sortField = 1, sortOrder = 1</t>
    <rPh sb="0" eb="1">
      <t xml:space="preserve">ニュウリョクデータ </t>
    </rPh>
    <phoneticPr fontId="1"/>
  </si>
  <si>
    <t>戻り値：商品ID，昇順でソートされた商品リスト</t>
    <rPh sb="0" eb="1">
      <t xml:space="preserve">モドリチ </t>
    </rPh>
    <rPh sb="18" eb="20">
      <t xml:space="preserve">ショウヒン </t>
    </rPh>
    <phoneticPr fontId="1"/>
  </si>
  <si>
    <t>ソートの確認（商品ID，降順）</t>
    <rPh sb="0" eb="1">
      <t xml:space="preserve">フセイナ </t>
    </rPh>
    <rPh sb="3" eb="5">
      <t xml:space="preserve">ヒヅケ </t>
    </rPh>
    <rPh sb="6" eb="8">
      <t xml:space="preserve">ニュウリョクシタサイ </t>
    </rPh>
    <rPh sb="12" eb="14">
      <t xml:space="preserve">コウジュン </t>
    </rPh>
    <rPh sb="14" eb="16">
      <t xml:space="preserve">ショリカクニン </t>
    </rPh>
    <phoneticPr fontId="1"/>
  </si>
  <si>
    <t>入力データ
sortField = 1, sortOrder = 2</t>
    <rPh sb="2" eb="6">
      <t xml:space="preserve">ガメンニュウリョク </t>
    </rPh>
    <phoneticPr fontId="1"/>
  </si>
  <si>
    <t>戻り値：商品ID，降順でソートされた商品リスト</t>
    <rPh sb="0" eb="1">
      <t xml:space="preserve">ツギノページガ </t>
    </rPh>
    <rPh sb="9" eb="11">
      <t xml:space="preserve">コウジュン </t>
    </rPh>
    <rPh sb="40" eb="42">
      <t xml:space="preserve">ヒョウジサレル </t>
    </rPh>
    <phoneticPr fontId="1"/>
  </si>
  <si>
    <t>ソートの確認（補完場所，昇順）</t>
    <phoneticPr fontId="1"/>
  </si>
  <si>
    <t>入力データ
sortField = 2, sortOrder = 1</t>
    <phoneticPr fontId="1"/>
  </si>
  <si>
    <t>戻り値：保管場所，昇順でソートされた商品リスト</t>
    <phoneticPr fontId="1"/>
  </si>
  <si>
    <t>ソートの確認（補完場所，降順）</t>
    <rPh sb="12" eb="14">
      <t xml:space="preserve">コウジュン </t>
    </rPh>
    <phoneticPr fontId="1"/>
  </si>
  <si>
    <t>入力データ
sortField = 2, sortOrder = 2</t>
    <phoneticPr fontId="1"/>
  </si>
  <si>
    <t>戻り値：保管場所，降順でソートされた商品リスト</t>
    <rPh sb="9" eb="11">
      <t xml:space="preserve">コウジュン </t>
    </rPh>
    <phoneticPr fontId="1"/>
  </si>
  <si>
    <t>ソートの確認（発売日，昇順）</t>
    <rPh sb="7" eb="10">
      <t xml:space="preserve">ハツバイビ </t>
    </rPh>
    <phoneticPr fontId="1"/>
  </si>
  <si>
    <t>ソートの確認（発売日，降順）</t>
    <rPh sb="7" eb="10">
      <t xml:space="preserve">ハツバイビ </t>
    </rPh>
    <rPh sb="11" eb="13">
      <t xml:space="preserve">コウジュン </t>
    </rPh>
    <phoneticPr fontId="1"/>
  </si>
  <si>
    <t>戻り値：発売日，昇順でソートされた商品リスト</t>
    <rPh sb="4" eb="7">
      <t xml:space="preserve">ハツバイビ </t>
    </rPh>
    <phoneticPr fontId="1"/>
  </si>
  <si>
    <t>戻り値：発売日，降順でソートされた商品リスト</t>
    <rPh sb="4" eb="7">
      <t xml:space="preserve">ハツバイビ </t>
    </rPh>
    <rPh sb="8" eb="10">
      <t xml:space="preserve">コウジュン </t>
    </rPh>
    <phoneticPr fontId="1"/>
  </si>
  <si>
    <t>入力データ
sortField = 3, sortOrder = 1</t>
    <phoneticPr fontId="1"/>
  </si>
  <si>
    <t>入力データ
sortField = 3, sortOrder = 2</t>
    <phoneticPr fontId="1"/>
  </si>
  <si>
    <t>ソートの確認（貸出・返却日，昇順）</t>
    <rPh sb="7" eb="9">
      <t xml:space="preserve">カシダシ </t>
    </rPh>
    <rPh sb="10" eb="13">
      <t xml:space="preserve">ヘンキャクビ </t>
    </rPh>
    <phoneticPr fontId="1"/>
  </si>
  <si>
    <t>ソートの確認（貸出・返却日，降順）</t>
    <rPh sb="7" eb="10">
      <t xml:space="preserve">ハツバイビ </t>
    </rPh>
    <rPh sb="11" eb="13">
      <t xml:space="preserve">コウジュン </t>
    </rPh>
    <phoneticPr fontId="1"/>
  </si>
  <si>
    <t>入力データ
sortField = 4, sortOrder = 1</t>
    <phoneticPr fontId="1"/>
  </si>
  <si>
    <t>戻り値：貸出・返却日，昇順でソートされた商品リスト</t>
    <rPh sb="4" eb="6">
      <t xml:space="preserve">カシダシ </t>
    </rPh>
    <rPh sb="7" eb="10">
      <t xml:space="preserve">ヘンキャクビ </t>
    </rPh>
    <phoneticPr fontId="1"/>
  </si>
  <si>
    <t>入力データ
sortField = 4, sortOrder = 2</t>
    <phoneticPr fontId="1"/>
  </si>
  <si>
    <t>戻り値：貸出・返却日，降順でソートされた商品リスト</t>
    <rPh sb="4" eb="6">
      <t xml:space="preserve">カシダシ </t>
    </rPh>
    <rPh sb="7" eb="10">
      <t xml:space="preserve">ヘンキャクビ </t>
    </rPh>
    <rPh sb="11" eb="13">
      <t xml:space="preserve">コウジュン </t>
    </rPh>
    <phoneticPr fontId="1"/>
  </si>
  <si>
    <t>無効な選択肢を入力した際のエラーメッセージ確認</t>
    <rPh sb="0" eb="2">
      <t xml:space="preserve">ムコウナ </t>
    </rPh>
    <rPh sb="3" eb="6">
      <t xml:space="preserve">センタクシヲ </t>
    </rPh>
    <rPh sb="7" eb="9">
      <t xml:space="preserve">ニュウリョクシタサイノ </t>
    </rPh>
    <phoneticPr fontId="1"/>
  </si>
  <si>
    <t>sortField = 5 を入力</t>
    <phoneticPr fontId="1"/>
  </si>
  <si>
    <t>「無効な並び替え項目です。」を表示</t>
    <phoneticPr fontId="1"/>
  </si>
  <si>
    <t>BT-2072</t>
    <phoneticPr fontId="1"/>
  </si>
  <si>
    <t>BT-2073</t>
  </si>
  <si>
    <t>BT-2074</t>
  </si>
  <si>
    <t>BT-2075</t>
  </si>
  <si>
    <t>BT-2076</t>
  </si>
  <si>
    <t>BT-2077</t>
  </si>
  <si>
    <t>BT-2078</t>
  </si>
  <si>
    <t>BT-2079</t>
  </si>
  <si>
    <t>BT-2080</t>
    <phoneticPr fontId="1"/>
  </si>
  <si>
    <t>BT-2081</t>
    <phoneticPr fontId="1"/>
  </si>
  <si>
    <t>overwriteGoodsToCSV</t>
    <phoneticPr fontId="1"/>
  </si>
  <si>
    <t>リスト中の商品が全てCSVに記録される</t>
    <rPh sb="5" eb="7">
      <t xml:space="preserve">ショウヒンガ </t>
    </rPh>
    <rPh sb="8" eb="9">
      <t xml:space="preserve">スベテ </t>
    </rPh>
    <rPh sb="14" eb="16">
      <t xml:space="preserve">キロクサレル </t>
    </rPh>
    <phoneticPr fontId="1"/>
  </si>
  <si>
    <t>複数の正しい項目の商品を含むproductリスト</t>
    <rPh sb="0" eb="2">
      <t xml:space="preserve">フクスウノ </t>
    </rPh>
    <rPh sb="3" eb="4">
      <t xml:space="preserve">タダシイ </t>
    </rPh>
    <rPh sb="6" eb="8">
      <t xml:space="preserve">コウモクノ </t>
    </rPh>
    <rPh sb="9" eb="11">
      <t xml:space="preserve">ショウヒンヲ </t>
    </rPh>
    <rPh sb="12" eb="13">
      <t xml:space="preserve">フクム </t>
    </rPh>
    <phoneticPr fontId="1"/>
  </si>
  <si>
    <t>商品リストの書き込み確認</t>
    <rPh sb="0" eb="2">
      <t xml:space="preserve">ショウヒンリスト </t>
    </rPh>
    <rPh sb="10" eb="12">
      <t xml:space="preserve">カクニン </t>
    </rPh>
    <phoneticPr fontId="1"/>
  </si>
  <si>
    <t>商品リストの書き込み失敗</t>
    <rPh sb="0" eb="1">
      <t xml:space="preserve">ショウヒンリストノ </t>
    </rPh>
    <rPh sb="6" eb="7">
      <t xml:space="preserve">カキコミシッパイ </t>
    </rPh>
    <phoneticPr fontId="1"/>
  </si>
  <si>
    <t>アクセス権限のないCSVファイル</t>
    <phoneticPr fontId="1"/>
  </si>
  <si>
    <t>「エラー: CSVファイルの上書きに失敗しました。」が出力される。</t>
    <rPh sb="0" eb="2">
      <t>「</t>
    </rPh>
    <rPh sb="16" eb="18">
      <t xml:space="preserve">ヒョウジサレル </t>
    </rPh>
    <rPh sb="27" eb="29">
      <t xml:space="preserve">シュツリョクサレル </t>
    </rPh>
    <phoneticPr fontId="1"/>
  </si>
  <si>
    <t>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</si>
</sst>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4" fontId="5" fillId="0" borderId="40" xfId="0" applyNumberFormat="1" applyFont="1" applyBorder="1" applyAlignment="1">
      <alignment horizontal="center" vertical="center" wrapText="1"/>
    </xf>
    <xf numFmtId="14" fontId="5" fillId="0" borderId="41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B8" sqref="B8:C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54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52</v>
      </c>
      <c r="B6" s="37" t="s">
        <v>55</v>
      </c>
      <c r="C6" s="37"/>
      <c r="D6" s="37" t="s">
        <v>53</v>
      </c>
      <c r="E6" s="37"/>
      <c r="F6" s="37" t="s">
        <v>58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63</v>
      </c>
      <c r="B7" s="35" t="s">
        <v>56</v>
      </c>
      <c r="C7" s="35"/>
      <c r="D7" s="35" t="s">
        <v>57</v>
      </c>
      <c r="E7" s="35"/>
      <c r="F7" s="35" t="s">
        <v>59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64</v>
      </c>
      <c r="B8" s="35" t="s">
        <v>67</v>
      </c>
      <c r="C8" s="35"/>
      <c r="D8" s="35" t="s">
        <v>60</v>
      </c>
      <c r="E8" s="35"/>
      <c r="F8" s="35" t="s">
        <v>61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62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65</v>
      </c>
      <c r="B6" s="37" t="s">
        <v>66</v>
      </c>
      <c r="C6" s="37"/>
      <c r="D6" s="37" t="s">
        <v>68</v>
      </c>
      <c r="E6" s="37"/>
      <c r="F6" s="37" t="s">
        <v>69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73</v>
      </c>
      <c r="B7" s="35" t="s">
        <v>70</v>
      </c>
      <c r="C7" s="35"/>
      <c r="D7" s="35" t="s">
        <v>71</v>
      </c>
      <c r="E7" s="35"/>
      <c r="F7" s="35" t="s">
        <v>72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F8" sqref="F8:G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74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75</v>
      </c>
      <c r="B6" s="37" t="s">
        <v>76</v>
      </c>
      <c r="C6" s="37"/>
      <c r="D6" s="37" t="s">
        <v>80</v>
      </c>
      <c r="E6" s="37"/>
      <c r="F6" s="37" t="s">
        <v>77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78</v>
      </c>
      <c r="B7" s="35" t="s">
        <v>79</v>
      </c>
      <c r="C7" s="35"/>
      <c r="D7" s="35" t="s">
        <v>81</v>
      </c>
      <c r="E7" s="35"/>
      <c r="F7" s="35" t="s">
        <v>82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F7" sqref="F7:G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83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84</v>
      </c>
      <c r="B6" s="37" t="s">
        <v>87</v>
      </c>
      <c r="C6" s="37"/>
      <c r="D6" s="37" t="s">
        <v>85</v>
      </c>
      <c r="E6" s="37"/>
      <c r="F6" s="37" t="s">
        <v>86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22</v>
      </c>
      <c r="B7" s="35" t="s">
        <v>88</v>
      </c>
      <c r="C7" s="35"/>
      <c r="D7" s="35" t="s">
        <v>89</v>
      </c>
      <c r="E7" s="35"/>
      <c r="F7" s="35" t="s">
        <v>90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B10" sqref="B10:C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91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92</v>
      </c>
      <c r="B6" s="37" t="s">
        <v>93</v>
      </c>
      <c r="C6" s="37"/>
      <c r="D6" s="37" t="s">
        <v>104</v>
      </c>
      <c r="E6" s="37"/>
      <c r="F6" s="37" t="s">
        <v>94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97</v>
      </c>
      <c r="B7" s="35" t="s">
        <v>95</v>
      </c>
      <c r="C7" s="35"/>
      <c r="D7" s="35" t="s">
        <v>105</v>
      </c>
      <c r="E7" s="35"/>
      <c r="F7" s="35" t="s">
        <v>96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98</v>
      </c>
      <c r="B8" s="35" t="s">
        <v>102</v>
      </c>
      <c r="C8" s="35"/>
      <c r="D8" s="35" t="s">
        <v>103</v>
      </c>
      <c r="E8" s="35"/>
      <c r="F8" s="35" t="s">
        <v>101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106</v>
      </c>
      <c r="B9" s="35" t="s">
        <v>99</v>
      </c>
      <c r="C9" s="35"/>
      <c r="D9" s="35" t="s">
        <v>100</v>
      </c>
      <c r="E9" s="35"/>
      <c r="F9" s="35" t="s">
        <v>107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6" sqref="A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108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109</v>
      </c>
      <c r="B6" s="37" t="s">
        <v>112</v>
      </c>
      <c r="C6" s="37"/>
      <c r="D6" s="37" t="s">
        <v>110</v>
      </c>
      <c r="E6" s="37"/>
      <c r="F6" s="37" t="s">
        <v>111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/>
      <c r="B7" s="35"/>
      <c r="C7" s="35"/>
      <c r="D7" s="35"/>
      <c r="E7" s="35"/>
      <c r="F7" s="35"/>
      <c r="G7" s="35"/>
      <c r="H7" s="13"/>
      <c r="I7" s="36"/>
      <c r="J7" s="36"/>
      <c r="K7" s="13"/>
      <c r="L7" s="14"/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8" sqref="A8:L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113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114</v>
      </c>
      <c r="B6" s="37" t="s">
        <v>115</v>
      </c>
      <c r="C6" s="37"/>
      <c r="D6" s="37" t="s">
        <v>116</v>
      </c>
      <c r="E6" s="37"/>
      <c r="F6" s="37" t="s">
        <v>117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118</v>
      </c>
      <c r="B7" s="35" t="s">
        <v>119</v>
      </c>
      <c r="C7" s="35"/>
      <c r="D7" s="35" t="s">
        <v>120</v>
      </c>
      <c r="E7" s="35"/>
      <c r="F7" s="35" t="s">
        <v>121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H8" sqref="H8:L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122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124</v>
      </c>
      <c r="B6" s="37" t="s">
        <v>125</v>
      </c>
      <c r="C6" s="37"/>
      <c r="D6" s="37" t="s">
        <v>126</v>
      </c>
      <c r="E6" s="37"/>
      <c r="F6" s="37" t="s">
        <v>127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131</v>
      </c>
      <c r="B7" s="35" t="s">
        <v>128</v>
      </c>
      <c r="C7" s="35"/>
      <c r="D7" s="35" t="s">
        <v>129</v>
      </c>
      <c r="E7" s="35"/>
      <c r="F7" s="35" t="s">
        <v>130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135</v>
      </c>
      <c r="B8" s="35" t="s">
        <v>132</v>
      </c>
      <c r="C8" s="35"/>
      <c r="D8" s="35" t="s">
        <v>133</v>
      </c>
      <c r="E8" s="35"/>
      <c r="F8" s="35" t="s">
        <v>134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123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136</v>
      </c>
      <c r="B6" s="37" t="s">
        <v>138</v>
      </c>
      <c r="C6" s="37"/>
      <c r="D6" s="37" t="s">
        <v>139</v>
      </c>
      <c r="E6" s="37"/>
      <c r="F6" s="37" t="s">
        <v>140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141</v>
      </c>
      <c r="B7" s="35" t="s">
        <v>142</v>
      </c>
      <c r="C7" s="35"/>
      <c r="D7" s="35" t="s">
        <v>143</v>
      </c>
      <c r="E7" s="35"/>
      <c r="F7" s="35" t="s">
        <v>144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7" sqref="A7:L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137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145</v>
      </c>
      <c r="B6" s="37" t="s">
        <v>146</v>
      </c>
      <c r="C6" s="37"/>
      <c r="D6" s="37"/>
      <c r="E6" s="37"/>
      <c r="F6" s="37" t="s">
        <v>147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/>
      <c r="B7" s="35"/>
      <c r="C7" s="35"/>
      <c r="D7" s="35"/>
      <c r="E7" s="35"/>
      <c r="F7" s="35"/>
      <c r="G7" s="35"/>
      <c r="H7" s="13"/>
      <c r="I7" s="36"/>
      <c r="J7" s="36"/>
      <c r="K7" s="13"/>
      <c r="L7" s="14"/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N55"/>
  <sheetViews>
    <sheetView zoomScaleNormal="100" workbookViewId="0">
      <pane ySplit="5" topLeftCell="A15" activePane="bottomLeft" state="frozen"/>
      <selection activeCell="F9" sqref="F9:G9"/>
      <selection pane="bottomLeft" activeCell="H19" sqref="H19:L2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全2ページ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148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149</v>
      </c>
      <c r="B6" s="37" t="s">
        <v>150</v>
      </c>
      <c r="C6" s="37"/>
      <c r="D6" s="37" t="s">
        <v>44</v>
      </c>
      <c r="E6" s="37"/>
      <c r="F6" s="37" t="s">
        <v>33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151</v>
      </c>
      <c r="B7" s="35" t="s">
        <v>152</v>
      </c>
      <c r="C7" s="35"/>
      <c r="D7" s="35" t="s">
        <v>153</v>
      </c>
      <c r="E7" s="35"/>
      <c r="F7" s="35" t="s">
        <v>154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187</v>
      </c>
      <c r="B8" s="35" t="s">
        <v>155</v>
      </c>
      <c r="C8" s="35"/>
      <c r="D8" s="35" t="s">
        <v>156</v>
      </c>
      <c r="E8" s="35"/>
      <c r="F8" s="35" t="s">
        <v>157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188</v>
      </c>
      <c r="B9" s="35" t="s">
        <v>158</v>
      </c>
      <c r="C9" s="35"/>
      <c r="D9" s="35" t="s">
        <v>159</v>
      </c>
      <c r="E9" s="35"/>
      <c r="F9" s="35" t="s">
        <v>160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189</v>
      </c>
      <c r="B10" s="35" t="s">
        <v>163</v>
      </c>
      <c r="C10" s="35"/>
      <c r="D10" s="35" t="s">
        <v>161</v>
      </c>
      <c r="E10" s="35"/>
      <c r="F10" s="35" t="s">
        <v>162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190</v>
      </c>
      <c r="B11" s="35" t="s">
        <v>164</v>
      </c>
      <c r="C11" s="35"/>
      <c r="D11" s="35" t="s">
        <v>165</v>
      </c>
      <c r="E11" s="35"/>
      <c r="F11" s="35" t="s">
        <v>166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191</v>
      </c>
      <c r="B12" s="35" t="s">
        <v>167</v>
      </c>
      <c r="C12" s="35"/>
      <c r="D12" s="35" t="s">
        <v>168</v>
      </c>
      <c r="E12" s="35"/>
      <c r="F12" s="35" t="s">
        <v>169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192</v>
      </c>
      <c r="B13" s="35" t="s">
        <v>170</v>
      </c>
      <c r="C13" s="35"/>
      <c r="D13" s="35" t="s">
        <v>171</v>
      </c>
      <c r="E13" s="35"/>
      <c r="F13" s="35" t="s">
        <v>172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193</v>
      </c>
      <c r="B14" s="35" t="s">
        <v>174</v>
      </c>
      <c r="C14" s="35"/>
      <c r="D14" s="35" t="s">
        <v>173</v>
      </c>
      <c r="E14" s="35"/>
      <c r="F14" s="35" t="s">
        <v>175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 thickBot="1">
      <c r="A15" s="12" t="s">
        <v>194</v>
      </c>
      <c r="B15" s="52" t="s">
        <v>176</v>
      </c>
      <c r="C15" s="52"/>
      <c r="D15" s="52" t="s">
        <v>177</v>
      </c>
      <c r="E15" s="52"/>
      <c r="F15" s="52" t="s">
        <v>178</v>
      </c>
      <c r="G15" s="52"/>
      <c r="H15" s="13" t="s">
        <v>20</v>
      </c>
      <c r="I15" s="36">
        <v>41274</v>
      </c>
      <c r="J15" s="36"/>
      <c r="K15" s="13"/>
      <c r="L15" s="14" t="s">
        <v>21</v>
      </c>
    </row>
    <row r="16" spans="1:14" ht="70.5" customHeight="1">
      <c r="A16" s="12" t="s">
        <v>195</v>
      </c>
      <c r="B16" s="50" t="s">
        <v>179</v>
      </c>
      <c r="C16" s="50"/>
      <c r="D16" s="50" t="s">
        <v>180</v>
      </c>
      <c r="E16" s="50"/>
      <c r="F16" s="50" t="s">
        <v>181</v>
      </c>
      <c r="G16" s="50"/>
      <c r="H16" s="13" t="s">
        <v>20</v>
      </c>
      <c r="I16" s="36">
        <v>41274</v>
      </c>
      <c r="J16" s="36"/>
      <c r="K16" s="13"/>
      <c r="L16" s="14" t="s">
        <v>21</v>
      </c>
      <c r="N16">
        <f>IF(A16&lt;&gt;"",1,0)</f>
        <v>1</v>
      </c>
    </row>
    <row r="17" spans="1:14" ht="70.5" customHeight="1">
      <c r="A17" s="12" t="s">
        <v>196</v>
      </c>
      <c r="B17" s="35" t="s">
        <v>182</v>
      </c>
      <c r="C17" s="35"/>
      <c r="D17" s="35" t="s">
        <v>183</v>
      </c>
      <c r="E17" s="35"/>
      <c r="F17" s="35" t="s">
        <v>157</v>
      </c>
      <c r="G17" s="35"/>
      <c r="H17" s="13" t="s">
        <v>20</v>
      </c>
      <c r="I17" s="36">
        <v>41274</v>
      </c>
      <c r="J17" s="36"/>
      <c r="K17" s="13"/>
      <c r="L17" s="14" t="s">
        <v>21</v>
      </c>
    </row>
    <row r="18" spans="1:14" ht="70.5" customHeight="1">
      <c r="A18" s="12" t="s">
        <v>197</v>
      </c>
      <c r="B18" s="35" t="s">
        <v>184</v>
      </c>
      <c r="C18" s="35"/>
      <c r="D18" s="35" t="s">
        <v>185</v>
      </c>
      <c r="E18" s="35"/>
      <c r="F18" s="35" t="s">
        <v>186</v>
      </c>
      <c r="G18" s="35"/>
      <c r="H18" s="13" t="s">
        <v>20</v>
      </c>
      <c r="I18" s="36">
        <v>41274</v>
      </c>
      <c r="J18" s="36"/>
      <c r="K18" s="13"/>
      <c r="L18" s="14" t="s">
        <v>21</v>
      </c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B8" sqref="B8:C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198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199</v>
      </c>
      <c r="B6" s="37" t="s">
        <v>200</v>
      </c>
      <c r="C6" s="37"/>
      <c r="D6" s="37" t="s">
        <v>201</v>
      </c>
      <c r="E6" s="37"/>
      <c r="F6" s="37" t="s">
        <v>202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203</v>
      </c>
      <c r="B7" s="35" t="s">
        <v>204</v>
      </c>
      <c r="C7" s="35"/>
      <c r="D7" s="35" t="s">
        <v>205</v>
      </c>
      <c r="E7" s="35"/>
      <c r="F7" s="35" t="s">
        <v>206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N55"/>
  <sheetViews>
    <sheetView zoomScaleNormal="100" workbookViewId="0">
      <pane ySplit="5" topLeftCell="A9" activePane="bottomLeft" state="frozen"/>
      <selection activeCell="F9" sqref="F9:G9"/>
      <selection pane="bottomLeft" activeCell="D5" sqref="D5:E5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全2ページ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232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207</v>
      </c>
      <c r="B6" s="37" t="s">
        <v>23</v>
      </c>
      <c r="C6" s="37"/>
      <c r="D6" s="37" t="s">
        <v>45</v>
      </c>
      <c r="E6" s="37"/>
      <c r="F6" s="37" t="s">
        <v>34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222</v>
      </c>
      <c r="B7" s="35" t="s">
        <v>24</v>
      </c>
      <c r="C7" s="35"/>
      <c r="D7" s="35" t="s">
        <v>46</v>
      </c>
      <c r="E7" s="35"/>
      <c r="F7" s="35" t="s">
        <v>35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223</v>
      </c>
      <c r="B8" s="35" t="s">
        <v>25</v>
      </c>
      <c r="C8" s="35"/>
      <c r="D8" s="35" t="s">
        <v>47</v>
      </c>
      <c r="E8" s="35"/>
      <c r="F8" s="35" t="s">
        <v>36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224</v>
      </c>
      <c r="B9" s="35" t="s">
        <v>26</v>
      </c>
      <c r="C9" s="35"/>
      <c r="D9" s="35" t="s">
        <v>48</v>
      </c>
      <c r="E9" s="35"/>
      <c r="F9" s="35" t="s">
        <v>37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225</v>
      </c>
      <c r="B10" s="35" t="s">
        <v>27</v>
      </c>
      <c r="C10" s="35"/>
      <c r="D10" s="35" t="s">
        <v>49</v>
      </c>
      <c r="E10" s="35"/>
      <c r="F10" s="35" t="s">
        <v>38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226</v>
      </c>
      <c r="B11" s="35" t="s">
        <v>28</v>
      </c>
      <c r="C11" s="35"/>
      <c r="D11" s="35" t="s">
        <v>50</v>
      </c>
      <c r="E11" s="35"/>
      <c r="F11" s="35" t="s">
        <v>39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227</v>
      </c>
      <c r="B12" s="35" t="s">
        <v>208</v>
      </c>
      <c r="C12" s="35"/>
      <c r="D12" s="35" t="s">
        <v>209</v>
      </c>
      <c r="E12" s="35"/>
      <c r="F12" s="35" t="s">
        <v>210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228</v>
      </c>
      <c r="B13" s="35" t="s">
        <v>211</v>
      </c>
      <c r="C13" s="35"/>
      <c r="D13" s="35" t="s">
        <v>212</v>
      </c>
      <c r="E13" s="35"/>
      <c r="F13" s="35" t="s">
        <v>213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229</v>
      </c>
      <c r="B14" s="35" t="s">
        <v>217</v>
      </c>
      <c r="C14" s="35"/>
      <c r="D14" s="35" t="s">
        <v>51</v>
      </c>
      <c r="E14" s="35"/>
      <c r="F14" s="35" t="s">
        <v>214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>
      <c r="A15" s="12" t="s">
        <v>230</v>
      </c>
      <c r="B15" s="35" t="s">
        <v>218</v>
      </c>
      <c r="C15" s="35"/>
      <c r="D15" s="35" t="s">
        <v>215</v>
      </c>
      <c r="E15" s="35"/>
      <c r="F15" s="35" t="s">
        <v>216</v>
      </c>
      <c r="G15" s="35"/>
      <c r="H15" s="13" t="s">
        <v>20</v>
      </c>
      <c r="I15" s="36">
        <v>41274</v>
      </c>
      <c r="J15" s="36"/>
      <c r="K15" s="13"/>
      <c r="L15" s="14" t="s">
        <v>21</v>
      </c>
    </row>
    <row r="16" spans="1:14" ht="70.5" customHeight="1">
      <c r="A16" s="12" t="s">
        <v>231</v>
      </c>
      <c r="B16" s="35" t="s">
        <v>219</v>
      </c>
      <c r="C16" s="35"/>
      <c r="D16" s="35" t="s">
        <v>220</v>
      </c>
      <c r="E16" s="35"/>
      <c r="F16" s="35" t="s">
        <v>221</v>
      </c>
      <c r="G16" s="35"/>
      <c r="H16" s="13" t="s">
        <v>20</v>
      </c>
      <c r="I16" s="36">
        <v>41274</v>
      </c>
      <c r="J16" s="36"/>
      <c r="K16" s="13"/>
      <c r="L16" s="14" t="s">
        <v>21</v>
      </c>
      <c r="N16">
        <f>IF(A16&lt;&gt;"",1,0)</f>
        <v>1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N52"/>
  <sheetViews>
    <sheetView zoomScaleNormal="100" workbookViewId="0">
      <pane ySplit="5" topLeftCell="A7" activePane="bottomLeft" state="frozen"/>
      <selection activeCell="F9" sqref="F9:G9"/>
      <selection pane="bottomLeft" activeCell="D6" sqref="D6:E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e">
        <f>"全"&amp;SUM(#REF!,N13,N23,N33,N43,N53,N63,N73,N83,N93)&amp;"ページ"</f>
        <v>#REF!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233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12" t="s">
        <v>234</v>
      </c>
      <c r="B6" s="54" t="s">
        <v>236</v>
      </c>
      <c r="C6" s="55"/>
      <c r="D6" s="54"/>
      <c r="E6" s="55"/>
      <c r="F6" s="54" t="s">
        <v>237</v>
      </c>
      <c r="G6" s="55"/>
      <c r="H6" s="13" t="s">
        <v>20</v>
      </c>
      <c r="I6" s="56">
        <v>41274</v>
      </c>
      <c r="J6" s="57"/>
      <c r="K6" s="13"/>
      <c r="L6" s="14" t="s">
        <v>21</v>
      </c>
    </row>
    <row r="7" spans="1:14" ht="70.5" customHeight="1">
      <c r="A7" s="12" t="s">
        <v>235</v>
      </c>
      <c r="B7" s="54" t="s">
        <v>29</v>
      </c>
      <c r="C7" s="55"/>
      <c r="D7" s="54" t="s">
        <v>250</v>
      </c>
      <c r="E7" s="55"/>
      <c r="F7" s="54" t="s">
        <v>40</v>
      </c>
      <c r="G7" s="55"/>
      <c r="H7" s="13" t="s">
        <v>20</v>
      </c>
      <c r="I7" s="56">
        <v>41274</v>
      </c>
      <c r="J7" s="57"/>
      <c r="K7" s="13"/>
      <c r="L7" s="14" t="s">
        <v>21</v>
      </c>
    </row>
    <row r="8" spans="1:14" ht="70.5" customHeight="1">
      <c r="A8" s="12" t="s">
        <v>258</v>
      </c>
      <c r="B8" s="54" t="s">
        <v>30</v>
      </c>
      <c r="C8" s="55"/>
      <c r="D8" s="54" t="s">
        <v>249</v>
      </c>
      <c r="E8" s="55"/>
      <c r="F8" s="54" t="s">
        <v>41</v>
      </c>
      <c r="G8" s="55"/>
      <c r="H8" s="13" t="s">
        <v>20</v>
      </c>
      <c r="I8" s="56">
        <v>41274</v>
      </c>
      <c r="J8" s="57"/>
      <c r="K8" s="13"/>
      <c r="L8" s="14" t="s">
        <v>21</v>
      </c>
    </row>
    <row r="9" spans="1:14" ht="70.5" customHeight="1">
      <c r="A9" s="12" t="s">
        <v>259</v>
      </c>
      <c r="B9" s="54" t="s">
        <v>31</v>
      </c>
      <c r="C9" s="55"/>
      <c r="D9" s="54" t="s">
        <v>252</v>
      </c>
      <c r="E9" s="55"/>
      <c r="F9" s="54" t="s">
        <v>42</v>
      </c>
      <c r="G9" s="55"/>
      <c r="H9" s="13" t="s">
        <v>20</v>
      </c>
      <c r="I9" s="56">
        <v>41274</v>
      </c>
      <c r="J9" s="57"/>
      <c r="K9" s="13"/>
      <c r="L9" s="14" t="s">
        <v>21</v>
      </c>
    </row>
    <row r="10" spans="1:14" ht="70.5" customHeight="1">
      <c r="A10" s="12" t="s">
        <v>260</v>
      </c>
      <c r="B10" s="54" t="s">
        <v>32</v>
      </c>
      <c r="C10" s="55"/>
      <c r="D10" s="54" t="s">
        <v>251</v>
      </c>
      <c r="E10" s="55"/>
      <c r="F10" s="54" t="s">
        <v>43</v>
      </c>
      <c r="G10" s="55"/>
      <c r="H10" s="13" t="s">
        <v>20</v>
      </c>
      <c r="I10" s="56">
        <v>41274</v>
      </c>
      <c r="J10" s="57"/>
      <c r="K10" s="13"/>
      <c r="L10" s="14" t="s">
        <v>21</v>
      </c>
    </row>
    <row r="11" spans="1:14" ht="70.5" customHeight="1">
      <c r="A11" s="12" t="s">
        <v>261</v>
      </c>
      <c r="B11" s="54" t="s">
        <v>238</v>
      </c>
      <c r="C11" s="55"/>
      <c r="D11" s="54" t="s">
        <v>253</v>
      </c>
      <c r="E11" s="55"/>
      <c r="F11" s="54" t="s">
        <v>240</v>
      </c>
      <c r="G11" s="55"/>
      <c r="H11" s="13" t="s">
        <v>20</v>
      </c>
      <c r="I11" s="56">
        <v>41274</v>
      </c>
      <c r="J11" s="57"/>
      <c r="K11" s="13"/>
      <c r="L11" s="14" t="s">
        <v>21</v>
      </c>
    </row>
    <row r="12" spans="1:14" ht="70.5" customHeight="1">
      <c r="A12" s="12" t="s">
        <v>262</v>
      </c>
      <c r="B12" s="54" t="s">
        <v>239</v>
      </c>
      <c r="C12" s="55"/>
      <c r="D12" s="54" t="s">
        <v>254</v>
      </c>
      <c r="E12" s="55"/>
      <c r="F12" s="54" t="s">
        <v>241</v>
      </c>
      <c r="G12" s="55"/>
      <c r="H12" s="13" t="s">
        <v>20</v>
      </c>
      <c r="I12" s="56">
        <v>41274</v>
      </c>
      <c r="J12" s="57"/>
      <c r="K12" s="13"/>
      <c r="L12" s="14" t="s">
        <v>21</v>
      </c>
    </row>
    <row r="13" spans="1:14" ht="70.5" customHeight="1">
      <c r="A13" s="12" t="s">
        <v>263</v>
      </c>
      <c r="B13" s="54" t="s">
        <v>242</v>
      </c>
      <c r="C13" s="55"/>
      <c r="D13" s="58" t="s">
        <v>255</v>
      </c>
      <c r="E13" s="59"/>
      <c r="F13" s="54" t="s">
        <v>244</v>
      </c>
      <c r="G13" s="55"/>
      <c r="H13" s="13" t="s">
        <v>20</v>
      </c>
      <c r="I13" s="56">
        <v>41274</v>
      </c>
      <c r="J13" s="57"/>
      <c r="K13" s="13"/>
      <c r="L13" s="14" t="s">
        <v>21</v>
      </c>
      <c r="N13">
        <f>IF(A13&lt;&gt;"",1,0)</f>
        <v>1</v>
      </c>
    </row>
    <row r="14" spans="1:14" ht="70.5" customHeight="1">
      <c r="A14" s="12" t="s">
        <v>264</v>
      </c>
      <c r="B14" s="54" t="s">
        <v>243</v>
      </c>
      <c r="C14" s="55"/>
      <c r="D14" s="58" t="s">
        <v>256</v>
      </c>
      <c r="E14" s="59"/>
      <c r="F14" s="35" t="s">
        <v>245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>
      <c r="A15" s="12" t="s">
        <v>265</v>
      </c>
      <c r="B15" s="35" t="s">
        <v>246</v>
      </c>
      <c r="C15" s="35"/>
      <c r="D15" s="35" t="s">
        <v>257</v>
      </c>
      <c r="E15" s="35"/>
      <c r="F15" s="35" t="s">
        <v>247</v>
      </c>
      <c r="G15" s="35"/>
      <c r="H15" s="13" t="s">
        <v>20</v>
      </c>
      <c r="I15" s="36">
        <v>41274</v>
      </c>
      <c r="J15" s="36"/>
      <c r="K15" s="13"/>
      <c r="L15" s="14" t="s">
        <v>21</v>
      </c>
    </row>
    <row r="16" spans="1:14" ht="70.5" customHeight="1">
      <c r="A16" s="12" t="s">
        <v>266</v>
      </c>
      <c r="B16" s="35" t="s">
        <v>248</v>
      </c>
      <c r="C16" s="35"/>
      <c r="D16" s="35" t="s">
        <v>257</v>
      </c>
      <c r="E16" s="35"/>
      <c r="F16" s="35" t="s">
        <v>247</v>
      </c>
      <c r="G16" s="35"/>
      <c r="H16" s="13" t="s">
        <v>20</v>
      </c>
      <c r="I16" s="36">
        <v>41274</v>
      </c>
      <c r="J16" s="36"/>
      <c r="K16" s="13"/>
      <c r="L16" s="14" t="s">
        <v>21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 thickBot="1">
      <c r="A22" s="15"/>
      <c r="B22" s="52"/>
      <c r="C22" s="52"/>
      <c r="D22" s="52"/>
      <c r="E22" s="52"/>
      <c r="F22" s="52"/>
      <c r="G22" s="52"/>
      <c r="H22" s="16"/>
      <c r="I22" s="53"/>
      <c r="J22" s="53"/>
      <c r="K22" s="16"/>
      <c r="L22" s="17"/>
    </row>
    <row r="23" spans="1:14" ht="70.5" customHeight="1">
      <c r="A23" s="18"/>
      <c r="B23" s="50"/>
      <c r="C23" s="50"/>
      <c r="D23" s="50"/>
      <c r="E23" s="50"/>
      <c r="F23" s="50"/>
      <c r="G23" s="50"/>
      <c r="H23" s="19"/>
      <c r="I23" s="51"/>
      <c r="J23" s="51"/>
      <c r="K23" s="19"/>
      <c r="L23" s="20"/>
      <c r="N23">
        <f>IF(A23&lt;&gt;"",1,0)</f>
        <v>0</v>
      </c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>
      <c r="A25" s="12"/>
      <c r="B25" s="35"/>
      <c r="C25" s="35"/>
      <c r="D25" s="35"/>
      <c r="E25" s="35"/>
      <c r="F25" s="35"/>
      <c r="G25" s="35"/>
      <c r="H25" s="13"/>
      <c r="I25" s="36"/>
      <c r="J25" s="36"/>
      <c r="K25" s="13"/>
      <c r="L25" s="14"/>
    </row>
    <row r="26" spans="1:14" ht="70.5" customHeight="1">
      <c r="A26" s="12"/>
      <c r="B26" s="35"/>
      <c r="C26" s="35"/>
      <c r="D26" s="35"/>
      <c r="E26" s="35"/>
      <c r="F26" s="35"/>
      <c r="G26" s="35"/>
      <c r="H26" s="13"/>
      <c r="I26" s="36"/>
      <c r="J26" s="36"/>
      <c r="K26" s="13"/>
      <c r="L26" s="14"/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 thickBot="1">
      <c r="A32" s="15"/>
      <c r="B32" s="52"/>
      <c r="C32" s="52"/>
      <c r="D32" s="52"/>
      <c r="E32" s="52"/>
      <c r="F32" s="52"/>
      <c r="G32" s="52"/>
      <c r="H32" s="16"/>
      <c r="I32" s="53"/>
      <c r="J32" s="53"/>
      <c r="K32" s="16"/>
      <c r="L32" s="17"/>
    </row>
    <row r="33" spans="1:14" ht="70.5" customHeight="1">
      <c r="A33" s="18"/>
      <c r="B33" s="50"/>
      <c r="C33" s="50"/>
      <c r="D33" s="50"/>
      <c r="E33" s="50"/>
      <c r="F33" s="50"/>
      <c r="G33" s="50"/>
      <c r="H33" s="19"/>
      <c r="I33" s="51"/>
      <c r="J33" s="51"/>
      <c r="K33" s="19"/>
      <c r="L33" s="20"/>
      <c r="N33">
        <f>IF(A33&lt;&gt;"",1,0)</f>
        <v>0</v>
      </c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>
      <c r="A35" s="12"/>
      <c r="B35" s="35"/>
      <c r="C35" s="35"/>
      <c r="D35" s="35"/>
      <c r="E35" s="35"/>
      <c r="F35" s="35"/>
      <c r="G35" s="35"/>
      <c r="H35" s="13"/>
      <c r="I35" s="36"/>
      <c r="J35" s="36"/>
      <c r="K35" s="13"/>
      <c r="L35" s="14"/>
    </row>
    <row r="36" spans="1:14" ht="70.5" customHeight="1">
      <c r="A36" s="12"/>
      <c r="B36" s="35"/>
      <c r="C36" s="35"/>
      <c r="D36" s="35"/>
      <c r="E36" s="35"/>
      <c r="F36" s="35"/>
      <c r="G36" s="35"/>
      <c r="H36" s="13"/>
      <c r="I36" s="36"/>
      <c r="J36" s="36"/>
      <c r="K36" s="13"/>
      <c r="L36" s="14"/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 thickBot="1">
      <c r="A42" s="15"/>
      <c r="B42" s="52"/>
      <c r="C42" s="52"/>
      <c r="D42" s="52"/>
      <c r="E42" s="52"/>
      <c r="F42" s="52"/>
      <c r="G42" s="52"/>
      <c r="H42" s="16"/>
      <c r="I42" s="53"/>
      <c r="J42" s="53"/>
      <c r="K42" s="16"/>
      <c r="L42" s="17"/>
    </row>
    <row r="43" spans="1:14" ht="70.5" customHeight="1">
      <c r="A43" s="18"/>
      <c r="B43" s="50"/>
      <c r="C43" s="50"/>
      <c r="D43" s="50"/>
      <c r="E43" s="50"/>
      <c r="F43" s="50"/>
      <c r="G43" s="50"/>
      <c r="H43" s="19"/>
      <c r="I43" s="51"/>
      <c r="J43" s="51"/>
      <c r="K43" s="19"/>
      <c r="L43" s="20"/>
      <c r="N43">
        <f>IF(A43&lt;&gt;"",1,0)</f>
        <v>0</v>
      </c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>
      <c r="A45" s="12"/>
      <c r="B45" s="35"/>
      <c r="C45" s="35"/>
      <c r="D45" s="35"/>
      <c r="E45" s="35"/>
      <c r="F45" s="35"/>
      <c r="G45" s="35"/>
      <c r="H45" s="13"/>
      <c r="I45" s="36"/>
      <c r="J45" s="36"/>
      <c r="K45" s="13"/>
      <c r="L45" s="14"/>
    </row>
    <row r="46" spans="1:14" ht="70.5" customHeight="1">
      <c r="A46" s="12"/>
      <c r="B46" s="35"/>
      <c r="C46" s="35"/>
      <c r="D46" s="35"/>
      <c r="E46" s="35"/>
      <c r="F46" s="35"/>
      <c r="G46" s="35"/>
      <c r="H46" s="13"/>
      <c r="I46" s="36"/>
      <c r="J46" s="36"/>
      <c r="K46" s="13"/>
      <c r="L46" s="14"/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 thickBot="1">
      <c r="A52" s="15"/>
      <c r="B52" s="52"/>
      <c r="C52" s="52"/>
      <c r="D52" s="52"/>
      <c r="E52" s="52"/>
      <c r="F52" s="52"/>
      <c r="G52" s="52"/>
      <c r="H52" s="16"/>
      <c r="I52" s="53"/>
      <c r="J52" s="53"/>
      <c r="K52" s="16"/>
      <c r="L52" s="17"/>
    </row>
  </sheetData>
  <mergeCells count="203"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A4:D4"/>
    <mergeCell ref="E4:L4"/>
    <mergeCell ref="B5:C5"/>
    <mergeCell ref="D5:E5"/>
    <mergeCell ref="F5:G5"/>
    <mergeCell ref="I5:J5"/>
    <mergeCell ref="B7:C7"/>
    <mergeCell ref="D7:E7"/>
    <mergeCell ref="F7:G7"/>
    <mergeCell ref="I7:J7"/>
    <mergeCell ref="B6:C6"/>
    <mergeCell ref="D6:E6"/>
    <mergeCell ref="F6:G6"/>
    <mergeCell ref="I6:J6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N55"/>
  <sheetViews>
    <sheetView zoomScaleNormal="100" workbookViewId="0">
      <pane ySplit="5" topLeftCell="A6" activePane="bottomLeft" state="frozen"/>
      <selection activeCell="F9" sqref="F9:G9"/>
      <selection pane="bottomLeft" activeCell="S9" sqref="S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267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268</v>
      </c>
      <c r="B6" s="37" t="s">
        <v>269</v>
      </c>
      <c r="C6" s="37"/>
      <c r="D6" s="37"/>
      <c r="E6" s="37"/>
      <c r="F6" s="37" t="s">
        <v>270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280</v>
      </c>
      <c r="B7" s="35" t="s">
        <v>271</v>
      </c>
      <c r="C7" s="35"/>
      <c r="D7" s="35" t="s">
        <v>272</v>
      </c>
      <c r="E7" s="35"/>
      <c r="F7" s="35" t="s">
        <v>273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281</v>
      </c>
      <c r="B8" s="35" t="s">
        <v>274</v>
      </c>
      <c r="C8" s="35"/>
      <c r="D8" s="35" t="s">
        <v>275</v>
      </c>
      <c r="E8" s="35"/>
      <c r="F8" s="35" t="s">
        <v>276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282</v>
      </c>
      <c r="B9" s="35" t="s">
        <v>277</v>
      </c>
      <c r="C9" s="35"/>
      <c r="D9" s="35" t="s">
        <v>278</v>
      </c>
      <c r="E9" s="35"/>
      <c r="F9" s="35" t="s">
        <v>279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92E9-6843-0E4A-B3D6-F4E42AC8D71F}"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7" sqref="A7: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291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283</v>
      </c>
      <c r="B6" s="37" t="s">
        <v>298</v>
      </c>
      <c r="C6" s="37"/>
      <c r="D6" s="37"/>
      <c r="E6" s="37"/>
      <c r="F6" s="37" t="s">
        <v>299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303</v>
      </c>
      <c r="B7" s="35" t="s">
        <v>292</v>
      </c>
      <c r="C7" s="35"/>
      <c r="D7" s="35" t="s">
        <v>293</v>
      </c>
      <c r="E7" s="35"/>
      <c r="F7" s="35" t="s">
        <v>294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304</v>
      </c>
      <c r="B8" s="35" t="s">
        <v>295</v>
      </c>
      <c r="C8" s="35"/>
      <c r="D8" s="35" t="s">
        <v>296</v>
      </c>
      <c r="E8" s="35"/>
      <c r="F8" s="35" t="s">
        <v>297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305</v>
      </c>
      <c r="B9" s="35" t="s">
        <v>300</v>
      </c>
      <c r="C9" s="35"/>
      <c r="D9" s="35" t="s">
        <v>301</v>
      </c>
      <c r="E9" s="35"/>
      <c r="F9" s="35" t="s">
        <v>302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DE23-A8DF-D44F-B80F-5077681F73D4}"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290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306</v>
      </c>
      <c r="B6" s="37" t="s">
        <v>284</v>
      </c>
      <c r="C6" s="37"/>
      <c r="D6" s="37" t="s">
        <v>285</v>
      </c>
      <c r="E6" s="37"/>
      <c r="F6" s="37" t="s">
        <v>286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307</v>
      </c>
      <c r="B7" s="35" t="s">
        <v>287</v>
      </c>
      <c r="C7" s="35"/>
      <c r="D7" s="35" t="s">
        <v>288</v>
      </c>
      <c r="E7" s="35"/>
      <c r="F7" s="35" t="s">
        <v>289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B6C5-AA60-8A41-8930-0DE36CD61B40}">
  <dimension ref="A1:N55"/>
  <sheetViews>
    <sheetView zoomScaleNormal="100" workbookViewId="0">
      <pane ySplit="5" topLeftCell="A6" activePane="bottomLeft" state="frozen"/>
      <selection activeCell="F9" sqref="F9:G9"/>
      <selection pane="bottomLeft" activeCell="A7" sqref="A7:A14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308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309</v>
      </c>
      <c r="B6" s="37" t="s">
        <v>310</v>
      </c>
      <c r="C6" s="37"/>
      <c r="D6" s="37" t="s">
        <v>311</v>
      </c>
      <c r="E6" s="37"/>
      <c r="F6" s="37" t="s">
        <v>312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337</v>
      </c>
      <c r="B7" s="35" t="s">
        <v>313</v>
      </c>
      <c r="C7" s="35"/>
      <c r="D7" s="35" t="s">
        <v>314</v>
      </c>
      <c r="E7" s="35"/>
      <c r="F7" s="35" t="s">
        <v>315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338</v>
      </c>
      <c r="B8" s="35" t="s">
        <v>316</v>
      </c>
      <c r="C8" s="35"/>
      <c r="D8" s="35" t="s">
        <v>317</v>
      </c>
      <c r="E8" s="35"/>
      <c r="F8" s="35" t="s">
        <v>318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339</v>
      </c>
      <c r="B9" s="35" t="s">
        <v>319</v>
      </c>
      <c r="C9" s="35"/>
      <c r="D9" s="35" t="s">
        <v>320</v>
      </c>
      <c r="E9" s="35"/>
      <c r="F9" s="35" t="s">
        <v>321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340</v>
      </c>
      <c r="B10" s="35" t="s">
        <v>322</v>
      </c>
      <c r="C10" s="35"/>
      <c r="D10" s="35" t="s">
        <v>326</v>
      </c>
      <c r="E10" s="35"/>
      <c r="F10" s="35" t="s">
        <v>324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341</v>
      </c>
      <c r="B11" s="35" t="s">
        <v>323</v>
      </c>
      <c r="C11" s="35"/>
      <c r="D11" s="35" t="s">
        <v>327</v>
      </c>
      <c r="E11" s="35"/>
      <c r="F11" s="35" t="s">
        <v>325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342</v>
      </c>
      <c r="B12" s="35" t="s">
        <v>328</v>
      </c>
      <c r="C12" s="35"/>
      <c r="D12" s="35" t="s">
        <v>330</v>
      </c>
      <c r="E12" s="35"/>
      <c r="F12" s="35" t="s">
        <v>331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343</v>
      </c>
      <c r="B13" s="35" t="s">
        <v>329</v>
      </c>
      <c r="C13" s="35"/>
      <c r="D13" s="35" t="s">
        <v>332</v>
      </c>
      <c r="E13" s="35"/>
      <c r="F13" s="35" t="s">
        <v>333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344</v>
      </c>
      <c r="B14" s="35" t="s">
        <v>334</v>
      </c>
      <c r="C14" s="35"/>
      <c r="D14" s="35" t="s">
        <v>335</v>
      </c>
      <c r="E14" s="35"/>
      <c r="F14" s="35" t="s">
        <v>336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AE37-7D0E-8D4F-93C8-4155427A8BFB}">
  <dimension ref="A1:N55"/>
  <sheetViews>
    <sheetView tabSelected="1" zoomScaleNormal="100" workbookViewId="0">
      <pane ySplit="5" topLeftCell="A6" activePane="bottomLeft" state="frozen"/>
      <selection activeCell="F9" sqref="F9:G9"/>
      <selection pane="bottomLeft" activeCell="D7" sqref="D7:E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347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345</v>
      </c>
      <c r="B6" s="37" t="s">
        <v>350</v>
      </c>
      <c r="C6" s="37"/>
      <c r="D6" s="37" t="s">
        <v>349</v>
      </c>
      <c r="E6" s="37"/>
      <c r="F6" s="37" t="s">
        <v>348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346</v>
      </c>
      <c r="B7" s="35" t="s">
        <v>351</v>
      </c>
      <c r="C7" s="35"/>
      <c r="D7" s="35" t="s">
        <v>352</v>
      </c>
      <c r="E7" s="35"/>
      <c r="F7" s="35" t="s">
        <v>353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354</v>
      </c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38</vt:i4>
      </vt:variant>
    </vt:vector>
  </HeadingPairs>
  <TitlesOfParts>
    <vt:vector size="57" baseType="lpstr">
      <vt:lpstr>loadGoodsFromCSV</vt:lpstr>
      <vt:lpstr>generateProductId</vt:lpstr>
      <vt:lpstr>saveToCSV</vt:lpstr>
      <vt:lpstr>goodsManageMenu</vt:lpstr>
      <vt:lpstr>registerProduct</vt:lpstr>
      <vt:lpstr>getGoodsList</vt:lpstr>
      <vt:lpstr>findProductById</vt:lpstr>
      <vt:lpstr>lendProduct</vt:lpstr>
      <vt:lpstr>returnProduct</vt:lpstr>
      <vt:lpstr>getTodayDate</vt:lpstr>
      <vt:lpstr>modifyOrDeleteProduct</vt:lpstr>
      <vt:lpstr>displayProductDetails</vt:lpstr>
      <vt:lpstr>modifyProduct</vt:lpstr>
      <vt:lpstr>displayProductList</vt:lpstr>
      <vt:lpstr>displayProductPages</vt:lpstr>
      <vt:lpstr>confirmDeletion</vt:lpstr>
      <vt:lpstr>formatDate</vt:lpstr>
      <vt:lpstr>compareProducts</vt:lpstr>
      <vt:lpstr>overwriteGoodsToCSV</vt:lpstr>
      <vt:lpstr>compareProducts!Print_Area</vt:lpstr>
      <vt:lpstr>confirmDeletion!Print_Area</vt:lpstr>
      <vt:lpstr>displayProductDetails!Print_Area</vt:lpstr>
      <vt:lpstr>displayProductList!Print_Area</vt:lpstr>
      <vt:lpstr>displayProductPages!Print_Area</vt:lpstr>
      <vt:lpstr>findProductById!Print_Area</vt:lpstr>
      <vt:lpstr>formatDate!Print_Area</vt:lpstr>
      <vt:lpstr>generateProductId!Print_Area</vt:lpstr>
      <vt:lpstr>getGoodsList!Print_Area</vt:lpstr>
      <vt:lpstr>getTodayDate!Print_Area</vt:lpstr>
      <vt:lpstr>goodsManageMenu!Print_Area</vt:lpstr>
      <vt:lpstr>lendProduct!Print_Area</vt:lpstr>
      <vt:lpstr>loadGoodsFromCSV!Print_Area</vt:lpstr>
      <vt:lpstr>modifyOrDeleteProduct!Print_Area</vt:lpstr>
      <vt:lpstr>modifyProduct!Print_Area</vt:lpstr>
      <vt:lpstr>overwriteGoodsToCSV!Print_Area</vt:lpstr>
      <vt:lpstr>registerProduct!Print_Area</vt:lpstr>
      <vt:lpstr>returnProduct!Print_Area</vt:lpstr>
      <vt:lpstr>saveToCSV!Print_Area</vt:lpstr>
      <vt:lpstr>compareProducts!Print_Titles</vt:lpstr>
      <vt:lpstr>confirmDeletion!Print_Titles</vt:lpstr>
      <vt:lpstr>displayProductDetails!Print_Titles</vt:lpstr>
      <vt:lpstr>displayProductList!Print_Titles</vt:lpstr>
      <vt:lpstr>displayProductPages!Print_Titles</vt:lpstr>
      <vt:lpstr>findProductById!Print_Titles</vt:lpstr>
      <vt:lpstr>formatDate!Print_Titles</vt:lpstr>
      <vt:lpstr>generateProductId!Print_Titles</vt:lpstr>
      <vt:lpstr>getGoodsList!Print_Titles</vt:lpstr>
      <vt:lpstr>getTodayDate!Print_Titles</vt:lpstr>
      <vt:lpstr>goodsManageMenu!Print_Titles</vt:lpstr>
      <vt:lpstr>lendProduct!Print_Titles</vt:lpstr>
      <vt:lpstr>loadGoodsFromCSV!Print_Titles</vt:lpstr>
      <vt:lpstr>modifyOrDeleteProduct!Print_Titles</vt:lpstr>
      <vt:lpstr>modifyProduct!Print_Titles</vt:lpstr>
      <vt:lpstr>overwriteGoodsToCSV!Print_Titles</vt:lpstr>
      <vt:lpstr>registerProduct!Print_Titles</vt:lpstr>
      <vt:lpstr>returnProduct!Print_Titles</vt:lpstr>
      <vt:lpstr>saveToCSV!Print_Titles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2012-02-29T02:08:33Z</cp:lastPrinted>
  <dcterms:created xsi:type="dcterms:W3CDTF">2012-01-31T19:14:48Z</dcterms:created>
  <dcterms:modified xsi:type="dcterms:W3CDTF">2024-11-22T04:49:58Z</dcterms:modified>
</cp:coreProperties>
</file>
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34EABE94-A46D-4448-8B48-6D1D42581A6A}" xr6:coauthVersionLast="47" xr6:coauthVersionMax="47" xr10:uidLastSave="{00000000-0000-0000-0000-000000000000}"/>
  <bookViews>
    <workbookView xWindow="19200" yWindow="500" windowWidth="19200" windowHeight="21100" firstSheet="1" activeTab="1" xr2:uid="{00000000-000D-0000-FFFF-FFFF00000000}"/>
  </bookViews>
  <sheets>
    <sheet name="lendMenu" sheetId="2" r:id="rId1"/>
    <sheet name="getTodayDate" sheetId="3" r:id="rId2"/>
  </sheets>
  <definedNames>
    <definedName name="_xlnm.Print_Area" localSheetId="1">getTodayDate!$A$1:$L$15</definedName>
    <definedName name="_xlnm.Print_Area" localSheetId="0">lendMenu!$A$1:$L$15</definedName>
    <definedName name="_xlnm.Print_Titles" localSheetId="1">getTodayDate!$1:$5</definedName>
    <definedName name="_xlnm.Print_Titles" localSheetId="0">lendMenu!$1:$5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3" l="1"/>
  <c r="N36" i="3"/>
  <c r="N26" i="3"/>
  <c r="N16" i="3"/>
  <c r="N6" i="3"/>
  <c r="N2" i="3"/>
  <c r="N46" i="2"/>
  <c r="N36" i="2"/>
  <c r="N26" i="2"/>
  <c r="N16" i="2"/>
  <c r="N6" i="2"/>
  <c r="N2" i="2"/>
</calcChain>
</file>

<file path=xl/sharedStrings.xml><?xml version="1.0" encoding="utf-8"?>
<sst xmlns="http://schemas.openxmlformats.org/spreadsheetml/2006/main" count="95" uniqueCount="59">
  <si>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</si>
  <si>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</si>
  <si>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</si>
  <si>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</si>
  <si>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</si>
  <si>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</si>
  <si>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</si>
  <si>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</si>
  <si>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</si>
  <si>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</si>
  <si>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</si>
  <si>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</si>
  <si>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</si>
  <si>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</si>
  <si>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</si>
  <si>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</si>
  <si>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</si>
  <si>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</si>
  <si>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ソフトウェア
ユニットテスト仕様書
兼成績書
（ブラックボックス）</t>
    <phoneticPr fontId="1"/>
  </si>
  <si>
    <t>入力データ</t>
    <rPh sb="0" eb="2">
      <t>ニュウリョク</t>
    </rPh>
    <phoneticPr fontId="1"/>
  </si>
  <si>
    <t>BT-3001</t>
  </si>
  <si>
    <t>合</t>
  </si>
  <si>
    <t>小舘</t>
  </si>
  <si>
    <t>BT-3002</t>
  </si>
  <si>
    <t>BT-3003</t>
  </si>
  <si>
    <t>BT-3004</t>
  </si>
  <si>
    <t>BT-3005</t>
  </si>
  <si>
    <t>BT-3006</t>
  </si>
  <si>
    <t>BT-3007</t>
  </si>
  <si>
    <t>BT-3008</t>
  </si>
  <si>
    <t>lendMenu</t>
    <phoneticPr fontId="1"/>
  </si>
  <si>
    <t>存在する商品IDを入力、存在する会員IDを入力し、貸出処理を実行</t>
    <rPh sb="0" eb="2">
      <t xml:space="preserve">ソンザイスル </t>
    </rPh>
    <rPh sb="4" eb="6">
      <t xml:space="preserve">ショウヒン </t>
    </rPh>
    <rPh sb="12" eb="14">
      <t xml:space="preserve">ソンザイスル </t>
    </rPh>
    <rPh sb="16" eb="18">
      <t xml:space="preserve">カイイン </t>
    </rPh>
    <rPh sb="25" eb="29">
      <t xml:space="preserve">カシダシショリヲ </t>
    </rPh>
    <rPh sb="30" eb="32">
      <t xml:space="preserve">ジッコウ </t>
    </rPh>
    <phoneticPr fontId="1"/>
  </si>
  <si>
    <t>存在する、かつ貸出可能な13桁のID
有効な10桁のID（例: "1234567890"）</t>
    <phoneticPr fontId="1"/>
  </si>
  <si>
    <t>存在しない商品IDを入力</t>
    <rPh sb="0" eb="1">
      <t xml:space="preserve">ソンザイシナイ </t>
    </rPh>
    <rPh sb="5" eb="7">
      <t xml:space="preserve">ショウヒン </t>
    </rPh>
    <phoneticPr fontId="1"/>
  </si>
  <si>
    <t>存在しない商品ID</t>
    <rPh sb="0" eb="1">
      <t xml:space="preserve">ソンザイシナイ </t>
    </rPh>
    <rPh sb="5" eb="7">
      <t xml:space="preserve">ショウヒン </t>
    </rPh>
    <phoneticPr fontId="1"/>
  </si>
  <si>
    <t>「商品が見つかりません。再度入力してください」を表示して再入力画面となることを確認する。</t>
    <rPh sb="1" eb="3">
      <t xml:space="preserve">ショウヒンガ </t>
    </rPh>
    <rPh sb="4" eb="5">
      <t xml:space="preserve">ミツカリマセン </t>
    </rPh>
    <rPh sb="12" eb="14">
      <t xml:space="preserve">サイド </t>
    </rPh>
    <rPh sb="14" eb="16">
      <t xml:space="preserve">ニュウリョクシテクダサイ </t>
    </rPh>
    <rPh sb="28" eb="33">
      <t xml:space="preserve">サイニュウリョクガメントナルコトヲカクニン </t>
    </rPh>
    <phoneticPr fontId="1"/>
  </si>
  <si>
    <t>貸出リストに商品が登録され、CSVファイルの必要部分に貸出情報が追記されることを確認する。</t>
    <rPh sb="6" eb="8">
      <t xml:space="preserve">ショウヒン </t>
    </rPh>
    <rPh sb="22" eb="24">
      <t xml:space="preserve">ヒツヨウ </t>
    </rPh>
    <rPh sb="24" eb="26">
      <t xml:space="preserve">ブブン </t>
    </rPh>
    <rPh sb="27" eb="31">
      <t xml:space="preserve">カシダシジョウホウ </t>
    </rPh>
    <rPh sb="32" eb="34">
      <t xml:space="preserve">ツイキサレル </t>
    </rPh>
    <rPh sb="40" eb="42">
      <t xml:space="preserve">カクニンスル </t>
    </rPh>
    <phoneticPr fontId="1"/>
  </si>
  <si>
    <t>貸出中の商品IDを入力</t>
    <rPh sb="0" eb="3">
      <t xml:space="preserve">カシダシチュウノ </t>
    </rPh>
    <rPh sb="4" eb="6">
      <t xml:space="preserve">ショウヒン </t>
    </rPh>
    <rPh sb="9" eb="11">
      <t xml:space="preserve">ニュウリョク </t>
    </rPh>
    <phoneticPr fontId="1"/>
  </si>
  <si>
    <t>貸出中の商品ID</t>
    <phoneticPr fontId="1"/>
  </si>
  <si>
    <t>「この商品はすでに貸出中です」のエラーメッセージが表示されることを確認</t>
    <phoneticPr fontId="1"/>
  </si>
  <si>
    <t>登録されている商品ID
無効な形式または登録されていない会員ID</t>
    <rPh sb="0" eb="2">
      <t xml:space="preserve">トウロクサレテイル </t>
    </rPh>
    <rPh sb="7" eb="9">
      <t xml:space="preserve">ショウヒン </t>
    </rPh>
    <phoneticPr fontId="1"/>
  </si>
  <si>
    <t>商品ID入力後、無効な会員IDを入力</t>
    <rPh sb="0" eb="2">
      <t xml:space="preserve">ショウヒン </t>
    </rPh>
    <rPh sb="4" eb="7">
      <t xml:space="preserve">ニュウリョクゴ </t>
    </rPh>
    <phoneticPr fontId="1"/>
  </si>
  <si>
    <t>「無効な会員IDです」のエラーメッセージが表示されることを確認</t>
    <phoneticPr fontId="1"/>
  </si>
  <si>
    <t>貸出商品情報確認で再入力を選択</t>
    <phoneticPr fontId="1"/>
  </si>
  <si>
    <t>登録されている商品ID入力後、貸出商品情報確認画面で2を入力</t>
    <rPh sb="0" eb="1">
      <t xml:space="preserve">トウロクサレテイル </t>
    </rPh>
    <rPh sb="7" eb="8">
      <t xml:space="preserve">ショウヒン </t>
    </rPh>
    <rPh sb="11" eb="14">
      <t xml:space="preserve">ニュウリョクゴ </t>
    </rPh>
    <rPh sb="15" eb="19">
      <t xml:space="preserve">カシダシショウヒン </t>
    </rPh>
    <rPh sb="19" eb="21">
      <t xml:space="preserve">ジョウホウ </t>
    </rPh>
    <rPh sb="21" eb="25">
      <t xml:space="preserve">カクニンガメンデ </t>
    </rPh>
    <phoneticPr fontId="1"/>
  </si>
  <si>
    <t>再度入力が可能であることを確認</t>
    <rPh sb="0" eb="2">
      <t xml:space="preserve">サイド </t>
    </rPh>
    <rPh sb="2" eb="4">
      <t xml:space="preserve">ニュウリョクガ </t>
    </rPh>
    <rPh sb="5" eb="7">
      <t xml:space="preserve">カノウデアルコトヲカクニン </t>
    </rPh>
    <phoneticPr fontId="1"/>
  </si>
  <si>
    <t>貸出商品情報確認で貸出処理を中断を選択</t>
    <rPh sb="9" eb="13">
      <t xml:space="preserve">カシダシショリ </t>
    </rPh>
    <phoneticPr fontId="1"/>
  </si>
  <si>
    <t>登録されている商品ID入力後、貸出商品情報確認画面で0を入力</t>
    <rPh sb="0" eb="1">
      <t xml:space="preserve">トウロクサレテイル </t>
    </rPh>
    <rPh sb="7" eb="8">
      <t xml:space="preserve">ショウヒン </t>
    </rPh>
    <rPh sb="11" eb="14">
      <t xml:space="preserve">ニュウリョクゴ </t>
    </rPh>
    <rPh sb="15" eb="19">
      <t xml:space="preserve">カシダシショウヒン </t>
    </rPh>
    <rPh sb="19" eb="21">
      <t xml:space="preserve">ジョウホウ </t>
    </rPh>
    <rPh sb="21" eb="25">
      <t xml:space="preserve">カクニンガメンデ </t>
    </rPh>
    <phoneticPr fontId="1"/>
  </si>
  <si>
    <t>「貸出処理を中断しました」が出力されることを確認</t>
    <rPh sb="1" eb="3">
      <t xml:space="preserve">カシダシ </t>
    </rPh>
    <rPh sb="3" eb="5">
      <t xml:space="preserve">カシダイショリヲ </t>
    </rPh>
    <rPh sb="6" eb="8">
      <t xml:space="preserve">チュウダンシマシタ </t>
    </rPh>
    <phoneticPr fontId="1"/>
  </si>
  <si>
    <t>貸出商品情報確認で登録されていない数値を入力</t>
    <rPh sb="9" eb="11">
      <t xml:space="preserve">トウロクサレテイナイ </t>
    </rPh>
    <rPh sb="17" eb="19">
      <t xml:space="preserve">スウチヲ </t>
    </rPh>
    <rPh sb="20" eb="22">
      <t xml:space="preserve">ニュウリョク </t>
    </rPh>
    <phoneticPr fontId="1"/>
  </si>
  <si>
    <t>登録されている商品ID入力後、貸出商品情報確認画面で5を入力</t>
    <rPh sb="0" eb="1">
      <t xml:space="preserve">トウロクサレテイル </t>
    </rPh>
    <rPh sb="7" eb="8">
      <t xml:space="preserve">ショウヒン </t>
    </rPh>
    <rPh sb="11" eb="14">
      <t xml:space="preserve">ニュウリョクゴ </t>
    </rPh>
    <rPh sb="15" eb="19">
      <t xml:space="preserve">カシダシショウヒン </t>
    </rPh>
    <rPh sb="19" eb="21">
      <t xml:space="preserve">ジョウホウ </t>
    </rPh>
    <rPh sb="21" eb="25">
      <t xml:space="preserve">カクニンガメンデ </t>
    </rPh>
    <phoneticPr fontId="1"/>
  </si>
  <si>
    <t>「無効な入力です。再度入力して下さい」が出力されることを確認。</t>
    <rPh sb="1" eb="2">
      <t xml:space="preserve">ムコウナニュウリョクデス </t>
    </rPh>
    <rPh sb="9" eb="11">
      <t xml:space="preserve">サイド </t>
    </rPh>
    <rPh sb="20" eb="22">
      <t xml:space="preserve">シュツリョクサレルコトヲ </t>
    </rPh>
    <rPh sb="28" eb="30">
      <t xml:space="preserve">カクニン </t>
    </rPh>
    <phoneticPr fontId="1"/>
  </si>
  <si>
    <t>商品ID入力画面で0を入力</t>
    <rPh sb="0" eb="1">
      <t xml:space="preserve">ショウヒン </t>
    </rPh>
    <rPh sb="2" eb="4">
      <t>ID</t>
    </rPh>
    <rPh sb="4" eb="5">
      <t xml:space="preserve">ニュウリョクガメンデ </t>
    </rPh>
    <rPh sb="11" eb="13">
      <t xml:space="preserve">ニュウリョク </t>
    </rPh>
    <phoneticPr fontId="1"/>
  </si>
  <si>
    <t>画面冒頭で0を入力</t>
    <rPh sb="0" eb="4">
      <t xml:space="preserve">ガメンボウトウデ </t>
    </rPh>
    <rPh sb="7" eb="9">
      <t xml:space="preserve">ニュウリョク </t>
    </rPh>
    <phoneticPr fontId="1"/>
  </si>
  <si>
    <t>「貸出処理をキャンセルしました」と表示され、メニューへ戻ることを確認。</t>
    <phoneticPr fontId="1"/>
  </si>
  <si>
    <t>BT-3009</t>
    <phoneticPr fontId="1"/>
  </si>
  <si>
    <t>getTodayDate</t>
    <phoneticPr fontId="1"/>
  </si>
  <si>
    <t>現在の日付が正しい形式で取得される</t>
    <rPh sb="0" eb="2">
      <t xml:space="preserve">カシダシリストニ </t>
    </rPh>
    <rPh sb="6" eb="8">
      <t xml:space="preserve">シンサクノ </t>
    </rPh>
    <rPh sb="10" eb="11">
      <t xml:space="preserve">ホン </t>
    </rPh>
    <rPh sb="11" eb="13">
      <t xml:space="preserve">ソンザイ </t>
    </rPh>
    <phoneticPr fontId="1"/>
  </si>
  <si>
    <t>yyyyMMdd形式で現在の日付が返される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</si>
</sst>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A6" sqref="A6"/>
      <selection pane="bottomLeft" activeCell="A7" sqref="A7:A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8" t="s">
        <v>18</v>
      </c>
      <c r="B1" s="49"/>
      <c r="C1" s="52" t="s">
        <v>0</v>
      </c>
      <c r="D1" s="41"/>
      <c r="E1" s="53" t="s">
        <v>1</v>
      </c>
      <c r="F1" s="41"/>
      <c r="G1" s="1" t="s">
        <v>2</v>
      </c>
      <c r="H1" s="53" t="s">
        <v>3</v>
      </c>
      <c r="I1" s="41"/>
      <c r="J1" s="40" t="s">
        <v>4</v>
      </c>
      <c r="K1" s="41"/>
      <c r="L1" s="2" t="s">
        <v>5</v>
      </c>
    </row>
    <row r="2" spans="1:14" ht="36" customHeight="1" thickBot="1">
      <c r="A2" s="50"/>
      <c r="B2" s="51"/>
      <c r="C2" s="42" t="s">
        <v>6</v>
      </c>
      <c r="D2" s="43"/>
      <c r="E2" s="44" t="s">
        <v>7</v>
      </c>
      <c r="F2" s="43"/>
      <c r="G2" s="3">
        <v>41255</v>
      </c>
      <c r="H2" s="45" t="s">
        <v>8</v>
      </c>
      <c r="I2" s="46"/>
      <c r="J2" s="47" t="s">
        <v>9</v>
      </c>
      <c r="K2" s="4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9" t="s">
        <v>10</v>
      </c>
      <c r="B4" s="30"/>
      <c r="C4" s="30"/>
      <c r="D4" s="31"/>
      <c r="E4" s="32" t="s">
        <v>30</v>
      </c>
      <c r="F4" s="33"/>
      <c r="G4" s="33"/>
      <c r="H4" s="33"/>
      <c r="I4" s="33"/>
      <c r="J4" s="33"/>
      <c r="K4" s="33"/>
      <c r="L4" s="34"/>
    </row>
    <row r="5" spans="1:14" ht="29" thickBot="1">
      <c r="A5" s="5" t="s">
        <v>11</v>
      </c>
      <c r="B5" s="35" t="s">
        <v>12</v>
      </c>
      <c r="C5" s="36"/>
      <c r="D5" s="35" t="s">
        <v>19</v>
      </c>
      <c r="E5" s="37"/>
      <c r="F5" s="38" t="s">
        <v>13</v>
      </c>
      <c r="G5" s="39"/>
      <c r="H5" s="6" t="s">
        <v>14</v>
      </c>
      <c r="I5" s="35" t="s">
        <v>15</v>
      </c>
      <c r="J5" s="37"/>
      <c r="K5" s="7" t="s">
        <v>16</v>
      </c>
      <c r="L5" s="8" t="s">
        <v>17</v>
      </c>
    </row>
    <row r="6" spans="1:14" ht="70.5" customHeight="1" thickTop="1">
      <c r="A6" s="9" t="s">
        <v>20</v>
      </c>
      <c r="B6" s="27" t="s">
        <v>31</v>
      </c>
      <c r="C6" s="27"/>
      <c r="D6" s="27" t="s">
        <v>32</v>
      </c>
      <c r="E6" s="27"/>
      <c r="F6" s="27" t="s">
        <v>36</v>
      </c>
      <c r="G6" s="27"/>
      <c r="H6" s="10" t="s">
        <v>21</v>
      </c>
      <c r="I6" s="28">
        <v>41274</v>
      </c>
      <c r="J6" s="28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23" t="s">
        <v>33</v>
      </c>
      <c r="C7" s="23"/>
      <c r="D7" s="23" t="s">
        <v>34</v>
      </c>
      <c r="E7" s="23"/>
      <c r="F7" s="23" t="s">
        <v>35</v>
      </c>
      <c r="G7" s="23"/>
      <c r="H7" s="13" t="s">
        <v>21</v>
      </c>
      <c r="I7" s="24">
        <v>41274</v>
      </c>
      <c r="J7" s="24"/>
      <c r="K7" s="13"/>
      <c r="L7" s="14" t="s">
        <v>22</v>
      </c>
    </row>
    <row r="8" spans="1:14" ht="70.5" customHeight="1">
      <c r="A8" s="12" t="s">
        <v>24</v>
      </c>
      <c r="B8" s="23" t="s">
        <v>37</v>
      </c>
      <c r="C8" s="23"/>
      <c r="D8" s="23" t="s">
        <v>38</v>
      </c>
      <c r="E8" s="23"/>
      <c r="F8" s="23" t="s">
        <v>39</v>
      </c>
      <c r="G8" s="23"/>
      <c r="H8" s="13" t="s">
        <v>21</v>
      </c>
      <c r="I8" s="24">
        <v>41274</v>
      </c>
      <c r="J8" s="24"/>
      <c r="K8" s="13"/>
      <c r="L8" s="14" t="s">
        <v>22</v>
      </c>
    </row>
    <row r="9" spans="1:14" ht="70.5" customHeight="1">
      <c r="A9" s="12" t="s">
        <v>25</v>
      </c>
      <c r="B9" s="23" t="s">
        <v>41</v>
      </c>
      <c r="C9" s="23"/>
      <c r="D9" s="23" t="s">
        <v>40</v>
      </c>
      <c r="E9" s="23"/>
      <c r="F9" s="23" t="s">
        <v>42</v>
      </c>
      <c r="G9" s="23"/>
      <c r="H9" s="13" t="s">
        <v>21</v>
      </c>
      <c r="I9" s="24">
        <v>41274</v>
      </c>
      <c r="J9" s="24"/>
      <c r="K9" s="13"/>
      <c r="L9" s="14" t="s">
        <v>22</v>
      </c>
    </row>
    <row r="10" spans="1:14" ht="70.5" customHeight="1">
      <c r="A10" s="12" t="s">
        <v>26</v>
      </c>
      <c r="B10" s="23" t="s">
        <v>43</v>
      </c>
      <c r="C10" s="23"/>
      <c r="D10" s="23" t="s">
        <v>44</v>
      </c>
      <c r="E10" s="23"/>
      <c r="F10" s="23" t="s">
        <v>45</v>
      </c>
      <c r="G10" s="23"/>
      <c r="H10" s="13" t="s">
        <v>21</v>
      </c>
      <c r="I10" s="24">
        <v>41274</v>
      </c>
      <c r="J10" s="24"/>
      <c r="K10" s="13"/>
      <c r="L10" s="14" t="s">
        <v>22</v>
      </c>
    </row>
    <row r="11" spans="1:14" ht="70.5" customHeight="1">
      <c r="A11" s="12" t="s">
        <v>27</v>
      </c>
      <c r="B11" s="23" t="s">
        <v>46</v>
      </c>
      <c r="C11" s="23"/>
      <c r="D11" s="23" t="s">
        <v>47</v>
      </c>
      <c r="E11" s="23"/>
      <c r="F11" s="23" t="s">
        <v>48</v>
      </c>
      <c r="G11" s="23"/>
      <c r="H11" s="13" t="s">
        <v>21</v>
      </c>
      <c r="I11" s="24">
        <v>41274</v>
      </c>
      <c r="J11" s="24"/>
      <c r="K11" s="13"/>
      <c r="L11" s="14" t="s">
        <v>22</v>
      </c>
    </row>
    <row r="12" spans="1:14" ht="70.5" customHeight="1">
      <c r="A12" s="12" t="s">
        <v>28</v>
      </c>
      <c r="B12" s="23" t="s">
        <v>49</v>
      </c>
      <c r="C12" s="23"/>
      <c r="D12" s="23" t="s">
        <v>50</v>
      </c>
      <c r="E12" s="23"/>
      <c r="F12" s="23" t="s">
        <v>51</v>
      </c>
      <c r="G12" s="23"/>
      <c r="H12" s="13" t="s">
        <v>21</v>
      </c>
      <c r="I12" s="24">
        <v>41274</v>
      </c>
      <c r="J12" s="24"/>
      <c r="K12" s="13"/>
      <c r="L12" s="14" t="s">
        <v>22</v>
      </c>
    </row>
    <row r="13" spans="1:14" ht="70.5" customHeight="1">
      <c r="A13" s="12" t="s">
        <v>29</v>
      </c>
      <c r="B13" s="23" t="s">
        <v>52</v>
      </c>
      <c r="C13" s="23"/>
      <c r="D13" s="23" t="s">
        <v>53</v>
      </c>
      <c r="E13" s="23"/>
      <c r="F13" s="23" t="s">
        <v>54</v>
      </c>
      <c r="G13" s="23"/>
      <c r="H13" s="13" t="s">
        <v>21</v>
      </c>
      <c r="I13" s="24">
        <v>41274</v>
      </c>
      <c r="J13" s="24"/>
      <c r="K13" s="13"/>
      <c r="L13" s="14" t="s">
        <v>22</v>
      </c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tabSelected="1" zoomScaleNormal="100" workbookViewId="0">
      <pane ySplit="5" topLeftCell="A6" activePane="bottomLeft" state="frozen"/>
      <selection activeCell="A6" sqref="A6"/>
      <selection pane="bottomLeft" activeCell="F9" sqref="F9:G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8" t="s">
        <v>18</v>
      </c>
      <c r="B1" s="49"/>
      <c r="C1" s="52" t="s">
        <v>0</v>
      </c>
      <c r="D1" s="41"/>
      <c r="E1" s="53" t="s">
        <v>1</v>
      </c>
      <c r="F1" s="41"/>
      <c r="G1" s="1" t="s">
        <v>2</v>
      </c>
      <c r="H1" s="53" t="s">
        <v>3</v>
      </c>
      <c r="I1" s="41"/>
      <c r="J1" s="40" t="s">
        <v>4</v>
      </c>
      <c r="K1" s="41"/>
      <c r="L1" s="2" t="s">
        <v>5</v>
      </c>
    </row>
    <row r="2" spans="1:14" ht="36" customHeight="1" thickBot="1">
      <c r="A2" s="50"/>
      <c r="B2" s="51"/>
      <c r="C2" s="42" t="s">
        <v>6</v>
      </c>
      <c r="D2" s="43"/>
      <c r="E2" s="44" t="s">
        <v>7</v>
      </c>
      <c r="F2" s="43"/>
      <c r="G2" s="3">
        <v>41255</v>
      </c>
      <c r="H2" s="45" t="s">
        <v>8</v>
      </c>
      <c r="I2" s="46"/>
      <c r="J2" s="47" t="s">
        <v>9</v>
      </c>
      <c r="K2" s="4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9" t="s">
        <v>10</v>
      </c>
      <c r="B4" s="30"/>
      <c r="C4" s="30"/>
      <c r="D4" s="31"/>
      <c r="E4" s="32" t="s">
        <v>56</v>
      </c>
      <c r="F4" s="33"/>
      <c r="G4" s="33"/>
      <c r="H4" s="33"/>
      <c r="I4" s="33"/>
      <c r="J4" s="33"/>
      <c r="K4" s="33"/>
      <c r="L4" s="34"/>
    </row>
    <row r="5" spans="1:14" ht="29" thickBot="1">
      <c r="A5" s="5" t="s">
        <v>11</v>
      </c>
      <c r="B5" s="35" t="s">
        <v>12</v>
      </c>
      <c r="C5" s="36"/>
      <c r="D5" s="35" t="s">
        <v>19</v>
      </c>
      <c r="E5" s="37"/>
      <c r="F5" s="38" t="s">
        <v>13</v>
      </c>
      <c r="G5" s="39"/>
      <c r="H5" s="6" t="s">
        <v>14</v>
      </c>
      <c r="I5" s="35" t="s">
        <v>15</v>
      </c>
      <c r="J5" s="37"/>
      <c r="K5" s="7" t="s">
        <v>16</v>
      </c>
      <c r="L5" s="8" t="s">
        <v>17</v>
      </c>
    </row>
    <row r="6" spans="1:14" ht="70.5" customHeight="1" thickTop="1">
      <c r="A6" s="9" t="s">
        <v>55</v>
      </c>
      <c r="B6" s="27" t="s">
        <v>57</v>
      </c>
      <c r="C6" s="27"/>
      <c r="D6" s="27"/>
      <c r="E6" s="27"/>
      <c r="F6" s="27" t="s">
        <v>58</v>
      </c>
      <c r="G6" s="27"/>
      <c r="H6" s="10" t="s">
        <v>21</v>
      </c>
      <c r="I6" s="28">
        <v>41274</v>
      </c>
      <c r="J6" s="28"/>
      <c r="K6" s="10"/>
      <c r="L6" s="11" t="s">
        <v>22</v>
      </c>
      <c r="N6">
        <f>IF(A6&lt;&gt;"",1,0)</f>
        <v>1</v>
      </c>
    </row>
    <row r="7" spans="1:14" ht="70.5" customHeight="1">
      <c r="A7" s="12"/>
      <c r="B7" s="23"/>
      <c r="C7" s="23"/>
      <c r="D7" s="23"/>
      <c r="E7" s="23"/>
      <c r="F7" s="23"/>
      <c r="G7" s="23"/>
      <c r="H7" s="13"/>
      <c r="I7" s="24"/>
      <c r="J7" s="24"/>
      <c r="K7" s="13"/>
      <c r="L7" s="14"/>
    </row>
    <row r="8" spans="1:14" ht="70.5" customHeight="1">
      <c r="A8" s="12"/>
      <c r="B8" s="23"/>
      <c r="C8" s="23"/>
      <c r="D8" s="23"/>
      <c r="E8" s="23"/>
      <c r="F8" s="23"/>
      <c r="G8" s="23"/>
      <c r="H8" s="13"/>
      <c r="I8" s="24"/>
      <c r="J8" s="24"/>
      <c r="K8" s="13"/>
      <c r="L8" s="14"/>
    </row>
    <row r="9" spans="1:14" ht="70.5" customHeight="1">
      <c r="A9" s="12"/>
      <c r="B9" s="23"/>
      <c r="C9" s="23"/>
      <c r="D9" s="23"/>
      <c r="E9" s="23"/>
      <c r="F9" s="23"/>
      <c r="G9" s="23"/>
      <c r="H9" s="13"/>
      <c r="I9" s="24"/>
      <c r="J9" s="24"/>
      <c r="K9" s="13"/>
      <c r="L9" s="14"/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lendMenu</vt:lpstr>
      <vt:lpstr>getTodayDate</vt:lpstr>
      <vt:lpstr>getTodayDate!Print_Area</vt:lpstr>
      <vt:lpstr>lendMenu!Print_Area</vt:lpstr>
      <vt:lpstr>getTodayDate!Print_Titles</vt:lpstr>
      <vt:lpstr>lendMenu!Print_Titles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2012-02-29T02:09:29Z</cp:lastPrinted>
  <dcterms:created xsi:type="dcterms:W3CDTF">2012-01-31T19:14:48Z</dcterms:created>
  <dcterms:modified xsi:type="dcterms:W3CDTF">2024-11-22T13:52:32Z</dcterms:modified>
</cp:coreProperties>
</file>